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A49C8B9D-056D-48EF-8569-8CA0A85B892C}" xr6:coauthVersionLast="47" xr6:coauthVersionMax="47" xr10:uidLastSave="{00000000-0000-0000-0000-000000000000}"/>
  <bookViews>
    <workbookView xWindow="1245" yWindow="-120" windowWidth="27675" windowHeight="16440" xr2:uid="{00000000-000D-0000-FFFF-FFFF00000000}"/>
  </bookViews>
  <sheets>
    <sheet name="4.1.都度起動バッチ"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 l="1"/>
  <c r="D346" i="1" s="1"/>
  <c r="D357" i="1" l="1"/>
  <c r="D361" i="1"/>
  <c r="D327" i="1"/>
  <c r="D280" i="1"/>
  <c r="D334" i="1"/>
  <c r="D9" i="1"/>
  <c r="D78" i="1"/>
  <c r="D13" i="1"/>
  <c r="E230" i="1" l="1"/>
  <c r="E239" i="1"/>
  <c r="E152" i="1"/>
  <c r="E226" i="1"/>
  <c r="E162" i="1"/>
  <c r="F180" i="1" s="1"/>
  <c r="E200" i="1"/>
  <c r="E214" i="1"/>
  <c r="E362" i="1"/>
  <c r="E373" i="1"/>
  <c r="E400" i="1"/>
  <c r="E391" i="1"/>
  <c r="E347" i="1"/>
  <c r="E352" i="1"/>
  <c r="E342" i="1"/>
  <c r="E335" i="1"/>
  <c r="E339" i="1"/>
  <c r="E14" i="1"/>
  <c r="E59" i="1"/>
  <c r="F386" i="1" l="1"/>
  <c r="F380" i="1"/>
  <c r="F375" i="1"/>
</calcChain>
</file>

<file path=xl/sharedStrings.xml><?xml version="1.0" encoding="utf-8"?>
<sst xmlns="http://schemas.openxmlformats.org/spreadsheetml/2006/main" count="247" uniqueCount="241">
  <si>
    <t>プロジェクト名</t>
    <phoneticPr fontId="3"/>
  </si>
  <si>
    <t>工程</t>
    <rPh sb="0" eb="2">
      <t>コウテイ</t>
    </rPh>
    <phoneticPr fontId="5"/>
  </si>
  <si>
    <t>要件定義</t>
    <rPh sb="0" eb="4">
      <t>ヨウケンテイギ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</si>
  <si>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</si>
  <si>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</si>
  <si>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</si>
  <si>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</si>
  <si>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</si>
  <si>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</si>
  <si>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</si>
  <si>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4.</t>
    <phoneticPr fontId="2"/>
  </si>
  <si>
    <t>バッチ処理方式</t>
    <rPh sb="3" eb="5">
      <t>ショリ</t>
    </rPh>
    <rPh sb="5" eb="7">
      <t>ホウシキ</t>
    </rPh>
    <phoneticPr fontId="2"/>
  </si>
  <si>
    <t>都度起動バッチ処理方式</t>
    <rPh sb="0" eb="2">
      <t>ツド</t>
    </rPh>
    <rPh sb="2" eb="4">
      <t>キドウ</t>
    </rPh>
    <rPh sb="7" eb="9">
      <t>ショリ</t>
    </rPh>
    <rPh sb="9" eb="11">
      <t>ホウシキ</t>
    </rPh>
    <phoneticPr fontId="2"/>
  </si>
  <si>
    <t>処理方式概要</t>
    <rPh sb="0" eb="2">
      <t>ショリ</t>
    </rPh>
    <rPh sb="2" eb="4">
      <t>ホウシキ</t>
    </rPh>
    <rPh sb="4" eb="6">
      <t>ガイヨウ</t>
    </rPh>
    <phoneticPr fontId="2"/>
  </si>
  <si>
    <t>ジョブスケジューラからの定刻起動等により、大量データを一括実行する処理方式である（いわゆる一般的なバッチ処理）。</t>
    <phoneticPr fontId="2"/>
  </si>
  <si>
    <t>Nablarchのバッチアプリケーション実行制御基盤を用いた都度起動バッチにより実現される。</t>
    <rPh sb="27" eb="28">
      <t>モチ</t>
    </rPh>
    <rPh sb="30" eb="34">
      <t>ツドキドウ</t>
    </rPh>
    <phoneticPr fontId="2"/>
  </si>
  <si>
    <t>処理制御</t>
    <rPh sb="0" eb="4">
      <t>ショリセイギョ</t>
    </rPh>
    <phoneticPr fontId="2"/>
  </si>
  <si>
    <t>構成要素</t>
    <rPh sb="0" eb="4">
      <t>コウセイヨウソ</t>
    </rPh>
    <phoneticPr fontId="2"/>
  </si>
  <si>
    <t>本バッチ処理方式を構成する各要素について、以下で説明する。</t>
    <rPh sb="0" eb="1">
      <t>ホン</t>
    </rPh>
    <rPh sb="4" eb="8">
      <t>ショリホウシキ</t>
    </rPh>
    <rPh sb="9" eb="11">
      <t>コウセイ</t>
    </rPh>
    <rPh sb="13" eb="14">
      <t>カク</t>
    </rPh>
    <rPh sb="14" eb="16">
      <t>ヨウソ</t>
    </rPh>
    <rPh sb="21" eb="23">
      <t>イカ</t>
    </rPh>
    <rPh sb="24" eb="26">
      <t>セツメイ</t>
    </rPh>
    <phoneticPr fontId="2"/>
  </si>
  <si>
    <t>対応サービス・要素</t>
    <rPh sb="0" eb="2">
      <t>タイオウ</t>
    </rPh>
    <rPh sb="7" eb="9">
      <t>ヨウソ</t>
    </rPh>
    <phoneticPr fontId="2"/>
  </si>
  <si>
    <t>説明</t>
    <rPh sb="0" eb="2">
      <t>セツメイ</t>
    </rPh>
    <phoneticPr fontId="2"/>
  </si>
  <si>
    <t>ジョブスケジューラ</t>
    <phoneticPr fontId="2"/>
  </si>
  <si>
    <t>EventBridge</t>
    <phoneticPr fontId="2"/>
  </si>
  <si>
    <t>ジョブネットの実行を制御する構成要素である。</t>
    <rPh sb="7" eb="9">
      <t>ジッコウ</t>
    </rPh>
    <rPh sb="10" eb="12">
      <t>セイギョ</t>
    </rPh>
    <rPh sb="14" eb="18">
      <t>コウセイヨウソ</t>
    </rPh>
    <phoneticPr fontId="2"/>
  </si>
  <si>
    <t>ジョブネットの定期実行や、S3へのファイル配置などの特定のイベントを検知して</t>
    <rPh sb="7" eb="11">
      <t>テイキジッコウ</t>
    </rPh>
    <rPh sb="21" eb="23">
      <t>ハイチ</t>
    </rPh>
    <rPh sb="26" eb="28">
      <t>トクテイ</t>
    </rPh>
    <rPh sb="34" eb="36">
      <t>ケンチ</t>
    </rPh>
    <phoneticPr fontId="2"/>
  </si>
  <si>
    <t>ジョブネットを起動する。</t>
    <phoneticPr fontId="2"/>
  </si>
  <si>
    <t>ジョブネット</t>
    <phoneticPr fontId="2"/>
  </si>
  <si>
    <t>Step Functions</t>
    <phoneticPr fontId="2"/>
  </si>
  <si>
    <t>実行制御（起動や停止）の対象とする管理単位である。</t>
  </si>
  <si>
    <t>ジョブフローとして関連のあるジョブをグループ化して管理する。</t>
  </si>
  <si>
    <t>Step Functionsのステートマシンがジョブネットに対応する。</t>
    <rPh sb="30" eb="32">
      <t>タイオウ</t>
    </rPh>
    <phoneticPr fontId="2"/>
  </si>
  <si>
    <t>方式が複雑化することを防ぐため、ジョブネットのネストは行わない。</t>
    <rPh sb="0" eb="2">
      <t>ホウシキ</t>
    </rPh>
    <rPh sb="3" eb="6">
      <t>フクザツカ</t>
    </rPh>
    <rPh sb="11" eb="12">
      <t>フセ</t>
    </rPh>
    <rPh sb="27" eb="28">
      <t>オコナ</t>
    </rPh>
    <phoneticPr fontId="2"/>
  </si>
  <si>
    <t>ジョブ</t>
    <phoneticPr fontId="2"/>
  </si>
  <si>
    <t>ECSタスク</t>
    <phoneticPr fontId="2"/>
  </si>
  <si>
    <t>業務処理の実行単位である。</t>
  </si>
  <si>
    <t>（バッチプログラム）</t>
    <phoneticPr fontId="2"/>
  </si>
  <si>
    <t>Lambda</t>
    <phoneticPr fontId="2"/>
  </si>
  <si>
    <t>Step Functionsではステートマシンに含まれるステートをジョブの単位とし、</t>
  </si>
  <si>
    <t>TaskステートでECSタスクやLambda関数などを実行する。</t>
    <phoneticPr fontId="2"/>
  </si>
  <si>
    <t>Javaプログラムの起動</t>
    <phoneticPr fontId="2"/>
  </si>
  <si>
    <t>ジョブスケジューラがジョブネットを起動することでジョブが実行され、紐付いたECSタスク、Lambda関数が起動される。</t>
    <rPh sb="28" eb="30">
      <t>ジッコウ</t>
    </rPh>
    <rPh sb="50" eb="52">
      <t>カンスウ</t>
    </rPh>
    <rPh sb="53" eb="55">
      <t>キドウ</t>
    </rPh>
    <phoneticPr fontId="2"/>
  </si>
  <si>
    <t>そしてECSタスクおよびLambda上でJavaプログラムが起動される。</t>
    <rPh sb="18" eb="19">
      <t>ジョウ</t>
    </rPh>
    <phoneticPr fontId="2"/>
  </si>
  <si>
    <t>強制停止</t>
    <rPh sb="0" eb="4">
      <t>キョウセイテイシ</t>
    </rPh>
    <phoneticPr fontId="2"/>
  </si>
  <si>
    <t>Nablarchが提供するプロセス停止制御ハンドラを導入することで、バッチプログラムを強制停止させられるようにする。</t>
    <rPh sb="9" eb="11">
      <t>テイキョウ</t>
    </rPh>
    <rPh sb="17" eb="19">
      <t>テイシ</t>
    </rPh>
    <rPh sb="19" eb="21">
      <t>セイギョ</t>
    </rPh>
    <rPh sb="26" eb="28">
      <t>ドウニュウ</t>
    </rPh>
    <rPh sb="43" eb="45">
      <t>キョウセイ</t>
    </rPh>
    <rPh sb="45" eb="47">
      <t>テイシ</t>
    </rPh>
    <phoneticPr fontId="2"/>
  </si>
  <si>
    <t>プロセス停止制御ハンドラはデータベースに保存された処理停止フラグを監視しており、</t>
    <phoneticPr fontId="2"/>
  </si>
  <si>
    <t>フラグがオンになるとバッチプログラムを強制停止させる。</t>
    <phoneticPr fontId="2"/>
  </si>
  <si>
    <t>プロセス停止制御ハンドラをトランザクションループ制御ハンドラの後続に配置することで、</t>
    <phoneticPr fontId="2"/>
  </si>
  <si>
    <t>ループごとに処理停止フラグを監視させることができる。</t>
    <phoneticPr fontId="2"/>
  </si>
  <si>
    <t>したがって、処理停止フラグをオンにするジョブ（都度起動バッチ停止ジョブ）を用意することで、</t>
  </si>
  <si>
    <t>処理対象の入力リクエストがあってもループ処理を抜けてバッチプログラムを強制停止させられるようになる。</t>
    <phoneticPr fontId="2"/>
  </si>
  <si>
    <t>強制停止させられたバッチプログラムは、プロセス停止制御ハンドラによって異常終了する。</t>
    <rPh sb="0" eb="2">
      <t>キョウセイ</t>
    </rPh>
    <rPh sb="2" eb="4">
      <t>テイシ</t>
    </rPh>
    <rPh sb="23" eb="25">
      <t>テイシ</t>
    </rPh>
    <rPh sb="25" eb="27">
      <t>セイギョ</t>
    </rPh>
    <rPh sb="35" eb="37">
      <t>イジョウ</t>
    </rPh>
    <rPh sb="37" eb="39">
      <t>シュウリョウ</t>
    </rPh>
    <phoneticPr fontId="2"/>
  </si>
  <si>
    <t>これは、前段のジョブが中断された状態で後続のジョブが実行されてしまい、データの不整合が発生することを防ぐためである。</t>
    <rPh sb="4" eb="6">
      <t>ゼンダン</t>
    </rPh>
    <rPh sb="11" eb="13">
      <t>チュウダン</t>
    </rPh>
    <rPh sb="16" eb="18">
      <t>ジョウタイ</t>
    </rPh>
    <rPh sb="19" eb="21">
      <t>コウゾク</t>
    </rPh>
    <rPh sb="26" eb="28">
      <t>ジッコウ</t>
    </rPh>
    <rPh sb="39" eb="42">
      <t>フセイゴウ</t>
    </rPh>
    <rPh sb="43" eb="45">
      <t>ハッセイ</t>
    </rPh>
    <rPh sb="50" eb="51">
      <t>フセ</t>
    </rPh>
    <phoneticPr fontId="2"/>
  </si>
  <si>
    <t>また、強制停止したバッチプログラムは異常終了となるため、トランザクションはロールバックされる。</t>
    <rPh sb="3" eb="7">
      <t>キョウセイテイシ</t>
    </rPh>
    <rPh sb="18" eb="22">
      <t>イジョウシュウリョウ</t>
    </rPh>
    <phoneticPr fontId="2"/>
  </si>
  <si>
    <t>したがって、直近コミットした箇所より後に更新された内容は全て破棄される。</t>
    <rPh sb="6" eb="8">
      <t>チョッキン</t>
    </rPh>
    <rPh sb="14" eb="16">
      <t>カショ</t>
    </rPh>
    <rPh sb="18" eb="19">
      <t>アト</t>
    </rPh>
    <rPh sb="20" eb="22">
      <t>コウシン</t>
    </rPh>
    <rPh sb="25" eb="27">
      <t>ナイヨウ</t>
    </rPh>
    <rPh sb="28" eb="29">
      <t>スベ</t>
    </rPh>
    <rPh sb="30" eb="32">
      <t>ハキ</t>
    </rPh>
    <phoneticPr fontId="2"/>
  </si>
  <si>
    <t>プログラムが暴走モードに陥ってプロセス停止制御ハンドラを通過できない場合は、最終手段としてECSタスクを強制終了することになる。</t>
    <rPh sb="21" eb="23">
      <t>セイギョ</t>
    </rPh>
    <phoneticPr fontId="2"/>
  </si>
  <si>
    <t>処理が途中で終了しているので、出力ログを参照してリカバリ処理を行う必要がある。</t>
    <phoneticPr fontId="2"/>
  </si>
  <si>
    <t>ジョブネットの基本構成</t>
    <rPh sb="7" eb="11">
      <t>キホンコウセイ</t>
    </rPh>
    <phoneticPr fontId="2"/>
  </si>
  <si>
    <t>ジョブネットの基本構成について説明する。</t>
    <rPh sb="7" eb="11">
      <t>キホンコウセイ</t>
    </rPh>
    <rPh sb="15" eb="17">
      <t>セツメイ</t>
    </rPh>
    <phoneticPr fontId="2"/>
  </si>
  <si>
    <t>まず、大まかなフローを以下に示す。</t>
    <rPh sb="3" eb="4">
      <t>オオ</t>
    </rPh>
    <rPh sb="11" eb="13">
      <t>イカ</t>
    </rPh>
    <rPh sb="14" eb="15">
      <t>シメ</t>
    </rPh>
    <phoneticPr fontId="2"/>
  </si>
  <si>
    <t>重複起動防止用Lambda</t>
    <phoneticPr fontId="2"/>
  </si>
  <si>
    <t>ジョブ(Lambda/ECSタスク)</t>
    <phoneticPr fontId="2"/>
  </si>
  <si>
    <t>ジョブネットは上記構成を基本とし、各ジョブネットの設計に含まれるジョブ数分だけ⑤～⑥のジョブ起動から実行部分を配置する。</t>
    <phoneticPr fontId="2"/>
  </si>
  <si>
    <t>クエリ言語</t>
    <rPh sb="3" eb="5">
      <t>ゲンゴ</t>
    </rPh>
    <phoneticPr fontId="2"/>
  </si>
  <si>
    <t>Step Functionsのステートマシンでは、データ変換の言語としてJSONPathとJSONataのいずれかを選択できる。</t>
    <rPh sb="28" eb="30">
      <t>ヘンカン</t>
    </rPh>
    <rPh sb="31" eb="33">
      <t>ゲンゴ</t>
    </rPh>
    <rPh sb="58" eb="60">
      <t>センタク</t>
    </rPh>
    <phoneticPr fontId="2"/>
  </si>
  <si>
    <t>言語</t>
    <rPh sb="0" eb="2">
      <t>ゲンゴ</t>
    </rPh>
    <phoneticPr fontId="2"/>
  </si>
  <si>
    <t>特徴</t>
    <rPh sb="0" eb="2">
      <t>トクチョウ</t>
    </rPh>
    <phoneticPr fontId="2"/>
  </si>
  <si>
    <t>JSONPath</t>
    <phoneticPr fontId="2"/>
  </si>
  <si>
    <t>シンプルな記法。データの抽出に強いが、データ変換の機能は限定的。</t>
    <rPh sb="5" eb="7">
      <t>キホウ</t>
    </rPh>
    <rPh sb="12" eb="14">
      <t>チュウシュツ</t>
    </rPh>
    <rPh sb="15" eb="16">
      <t>ツヨ</t>
    </rPh>
    <rPh sb="22" eb="24">
      <t>ヘンカン</t>
    </rPh>
    <rPh sb="25" eb="27">
      <t>キノウ</t>
    </rPh>
    <rPh sb="28" eb="31">
      <t>ゲンテイテキ</t>
    </rPh>
    <phoneticPr fontId="2"/>
  </si>
  <si>
    <t>JSONata</t>
    <phoneticPr fontId="2"/>
  </si>
  <si>
    <t>本システムでは、公式で使用が推奨されておりデータ変換機能が豊富なJSONataを使用する方針とする。</t>
    <rPh sb="0" eb="1">
      <t>ホン</t>
    </rPh>
    <rPh sb="8" eb="10">
      <t>コウシキ</t>
    </rPh>
    <rPh sb="11" eb="13">
      <t>シヨウ</t>
    </rPh>
    <rPh sb="14" eb="16">
      <t>スイショウ</t>
    </rPh>
    <rPh sb="24" eb="26">
      <t>ヘンカン</t>
    </rPh>
    <rPh sb="26" eb="28">
      <t>キノウ</t>
    </rPh>
    <rPh sb="29" eb="31">
      <t>ホウフ</t>
    </rPh>
    <rPh sb="40" eb="42">
      <t>シヨウ</t>
    </rPh>
    <rPh sb="44" eb="46">
      <t>ホウシン</t>
    </rPh>
    <phoneticPr fontId="2"/>
  </si>
  <si>
    <t>重複起動の防止</t>
    <rPh sb="0" eb="4">
      <t>チョウフクキドウ</t>
    </rPh>
    <rPh sb="5" eb="7">
      <t>ボウシ</t>
    </rPh>
    <phoneticPr fontId="2"/>
  </si>
  <si>
    <t>EventBrdigeは、同じイベントを複数回通知する可能性があることが公式から言及されている。</t>
    <rPh sb="13" eb="14">
      <t>オナ</t>
    </rPh>
    <rPh sb="20" eb="23">
      <t>フクスウカイ</t>
    </rPh>
    <rPh sb="23" eb="25">
      <t>ツウチ</t>
    </rPh>
    <rPh sb="27" eb="29">
      <t>カノウ</t>
    </rPh>
    <rPh sb="29" eb="30">
      <t>セイ</t>
    </rPh>
    <rPh sb="36" eb="38">
      <t>コウシキ</t>
    </rPh>
    <rPh sb="40" eb="42">
      <t>ゲンキュウ</t>
    </rPh>
    <phoneticPr fontId="2"/>
  </si>
  <si>
    <t>1 つのイベントに応じてルールが複数回トリガーされた | Amazon EventBridge ユーザーガイド</t>
  </si>
  <si>
    <t>この問題に対応するため、本システムではLambdaを用いた方式を採用する。</t>
    <rPh sb="2" eb="4">
      <t>モンダイ</t>
    </rPh>
    <rPh sb="5" eb="7">
      <t>タイオウ</t>
    </rPh>
    <rPh sb="12" eb="13">
      <t>ホン</t>
    </rPh>
    <rPh sb="26" eb="27">
      <t>モチ</t>
    </rPh>
    <rPh sb="29" eb="31">
      <t>ホウシキ</t>
    </rPh>
    <rPh sb="32" eb="34">
      <t>サイヨウ</t>
    </rPh>
    <phoneticPr fontId="2"/>
  </si>
  <si>
    <t>Step Functionsのステートマシンには、起動時に指定できるnameパラメータについて値が一意でなければならないという制約がある。</t>
    <rPh sb="25" eb="28">
      <t>キドウジ</t>
    </rPh>
    <rPh sb="29" eb="31">
      <t>シテイ</t>
    </rPh>
    <rPh sb="47" eb="48">
      <t>アタイ</t>
    </rPh>
    <rPh sb="49" eb="51">
      <t>イチイ</t>
    </rPh>
    <rPh sb="63" eb="65">
      <t>セイヤク</t>
    </rPh>
    <phoneticPr fontId="2"/>
  </si>
  <si>
    <t>name | StartExecution | AWS Step Functions API Reference</t>
  </si>
  <si>
    <t>この仕様を利用することで、イベントが2回以上通知された場合のジョブネットの重複起動を防止する。</t>
    <rPh sb="2" eb="4">
      <t>シヨウ</t>
    </rPh>
    <rPh sb="5" eb="7">
      <t>リヨウ</t>
    </rPh>
    <rPh sb="19" eb="22">
      <t>カイイジョウ</t>
    </rPh>
    <rPh sb="22" eb="24">
      <t>ツウチ</t>
    </rPh>
    <rPh sb="27" eb="29">
      <t>バアイ</t>
    </rPh>
    <rPh sb="37" eb="39">
      <t>チョウフク</t>
    </rPh>
    <rPh sb="39" eb="41">
      <t>キドウ</t>
    </rPh>
    <rPh sb="42" eb="44">
      <t>ボウシ</t>
    </rPh>
    <phoneticPr fontId="2"/>
  </si>
  <si>
    <t>具体的には、Lambdaからステートマシンを起動する際にEventBrdigeのイベントIDをnameパラメータに指定する。</t>
    <rPh sb="0" eb="3">
      <t>グタイテキ</t>
    </rPh>
    <rPh sb="22" eb="24">
      <t>キドウ</t>
    </rPh>
    <rPh sb="26" eb="27">
      <t>サイ</t>
    </rPh>
    <rPh sb="57" eb="59">
      <t>シテイ</t>
    </rPh>
    <phoneticPr fontId="2"/>
  </si>
  <si>
    <t>これにより、同じイベントIDの通知が複数来た場合でも2回目以降はステートマシンの起動に失敗するため重複起動を防止できる。</t>
    <rPh sb="6" eb="7">
      <t>オナ</t>
    </rPh>
    <rPh sb="15" eb="17">
      <t>ツウチ</t>
    </rPh>
    <rPh sb="18" eb="20">
      <t>フクスウ</t>
    </rPh>
    <rPh sb="20" eb="21">
      <t>キ</t>
    </rPh>
    <rPh sb="22" eb="24">
      <t>バアイ</t>
    </rPh>
    <rPh sb="27" eb="29">
      <t>カイメ</t>
    </rPh>
    <rPh sb="29" eb="31">
      <t>イコウ</t>
    </rPh>
    <rPh sb="40" eb="42">
      <t>キドウ</t>
    </rPh>
    <rPh sb="43" eb="45">
      <t>シッパイ</t>
    </rPh>
    <rPh sb="49" eb="53">
      <t>チョウフクキドウ</t>
    </rPh>
    <rPh sb="54" eb="56">
      <t>ボウシ</t>
    </rPh>
    <phoneticPr fontId="2"/>
  </si>
  <si>
    <t>なお、重複起動防止用Lambdaは複数のジョブネットで共通利用できるようにするため、後続で起動するステートマシンのARNを</t>
    <rPh sb="3" eb="10">
      <t>チョウフクキドウボウシヨウ</t>
    </rPh>
    <rPh sb="17" eb="19">
      <t>フクスウ</t>
    </rPh>
    <rPh sb="27" eb="31">
      <t>キョウツウリヨウ</t>
    </rPh>
    <rPh sb="42" eb="44">
      <t>コウゾク</t>
    </rPh>
    <rPh sb="45" eb="47">
      <t>キドウ</t>
    </rPh>
    <phoneticPr fontId="2"/>
  </si>
  <si>
    <t>入力パラメータとして受け取れるように設計する。</t>
    <rPh sb="0" eb="2">
      <t>ニュウリョク</t>
    </rPh>
    <rPh sb="10" eb="11">
      <t>ウ</t>
    </rPh>
    <rPh sb="12" eb="13">
      <t>ト</t>
    </rPh>
    <rPh sb="18" eb="20">
      <t>セッケイ</t>
    </rPh>
    <phoneticPr fontId="2"/>
  </si>
  <si>
    <t>これはEventBridgeのInput Transformerを使用し、Lambdaに渡すイベントデータをカスタマイズすることで実現する。</t>
  </si>
  <si>
    <t>重複起動防止用Lambdaの実装方針</t>
    <rPh sb="0" eb="6">
      <t>チョウフクキドウボウシ</t>
    </rPh>
    <rPh sb="6" eb="7">
      <t>ヨウ</t>
    </rPh>
    <rPh sb="14" eb="16">
      <t>ジッソウ</t>
    </rPh>
    <rPh sb="16" eb="18">
      <t>ホウシン</t>
    </rPh>
    <phoneticPr fontId="2"/>
  </si>
  <si>
    <t>項目</t>
    <rPh sb="0" eb="2">
      <t>コウモク</t>
    </rPh>
    <phoneticPr fontId="2"/>
  </si>
  <si>
    <t>方針</t>
    <rPh sb="0" eb="2">
      <t>ホウシン</t>
    </rPh>
    <phoneticPr fontId="2"/>
  </si>
  <si>
    <t>Java 21</t>
    <phoneticPr fontId="2"/>
  </si>
  <si>
    <t>利用ライブラリ</t>
    <rPh sb="0" eb="2">
      <t>リヨウ</t>
    </rPh>
    <phoneticPr fontId="2"/>
  </si>
  <si>
    <t>com.amazonaws:aws-lambda-java-core (JavaでLambdaを実装するための必須ライブラリ)</t>
    <rPh sb="48" eb="50">
      <t>ジッソウ</t>
    </rPh>
    <rPh sb="55" eb="57">
      <t>ヒッス</t>
    </rPh>
    <phoneticPr fontId="2"/>
  </si>
  <si>
    <t>software.amazon.awssdk:sfn (AWS SDKのStep Functions用モジュール)</t>
    <rPh sb="50" eb="51">
      <t>ヨウ</t>
    </rPh>
    <phoneticPr fontId="2"/>
  </si>
  <si>
    <t>エラー制御</t>
    <rPh sb="3" eb="5">
      <t>セイギョ</t>
    </rPh>
    <phoneticPr fontId="2"/>
  </si>
  <si>
    <t>独自制御はせずに発生した例外をそのまま実行基盤に投げて制御を任せる。</t>
    <rPh sb="0" eb="2">
      <t>ドクジ</t>
    </rPh>
    <rPh sb="2" eb="4">
      <t>セイギョ</t>
    </rPh>
    <rPh sb="8" eb="10">
      <t>ハッセイ</t>
    </rPh>
    <rPh sb="12" eb="14">
      <t>レイガイ</t>
    </rPh>
    <rPh sb="19" eb="23">
      <t>ジッコウキバン</t>
    </rPh>
    <rPh sb="24" eb="25">
      <t>ナ</t>
    </rPh>
    <rPh sb="27" eb="29">
      <t>セイギョ</t>
    </rPh>
    <rPh sb="30" eb="31">
      <t>マカ</t>
    </rPh>
    <phoneticPr fontId="2"/>
  </si>
  <si>
    <t>ログフォーマット</t>
    <phoneticPr fontId="2"/>
  </si>
  <si>
    <t>JSON</t>
    <phoneticPr fontId="2"/>
  </si>
  <si>
    <t>ロガー</t>
    <phoneticPr fontId="2"/>
  </si>
  <si>
    <t>LambdaLoggerを使用。</t>
    <rPh sb="13" eb="15">
      <t>シヨウ</t>
    </rPh>
    <phoneticPr fontId="2"/>
  </si>
  <si>
    <t>ログ出力</t>
    <rPh sb="2" eb="4">
      <t>シュツリョク</t>
    </rPh>
    <phoneticPr fontId="2"/>
  </si>
  <si>
    <t>障害発生時の調査を補助するために進捗状況をINFOまたはERRORログで出力する。</t>
    <rPh sb="0" eb="5">
      <t>ショウガイハッセイジ</t>
    </rPh>
    <rPh sb="6" eb="8">
      <t>チョウサ</t>
    </rPh>
    <rPh sb="9" eb="11">
      <t>ホジョ</t>
    </rPh>
    <rPh sb="16" eb="18">
      <t>シンチョク</t>
    </rPh>
    <rPh sb="18" eb="20">
      <t>ジョウキョウ</t>
    </rPh>
    <rPh sb="36" eb="38">
      <t>シュツリョク</t>
    </rPh>
    <phoneticPr fontId="2"/>
  </si>
  <si>
    <t>ただし、スタックトレースの出力については例外を投げて実行基盤の出力に任せる。</t>
    <rPh sb="13" eb="15">
      <t>シュツリョク</t>
    </rPh>
    <rPh sb="20" eb="22">
      <t>レイガイ</t>
    </rPh>
    <rPh sb="23" eb="24">
      <t>ナ</t>
    </rPh>
    <rPh sb="26" eb="30">
      <t>ジッコウキバン</t>
    </rPh>
    <rPh sb="31" eb="33">
      <t>シュツリョク</t>
    </rPh>
    <rPh sb="34" eb="35">
      <t>マカ</t>
    </rPh>
    <phoneticPr fontId="2"/>
  </si>
  <si>
    <t>また、機密情報はログに出力させないように注意すること。</t>
    <rPh sb="3" eb="7">
      <t>キミツジョウホウ</t>
    </rPh>
    <rPh sb="11" eb="13">
      <t>シュツリョク</t>
    </rPh>
    <rPh sb="20" eb="22">
      <t>チュウイ</t>
    </rPh>
    <phoneticPr fontId="2"/>
  </si>
  <si>
    <t>設定値の管理</t>
    <rPh sb="0" eb="3">
      <t>セッテイチ</t>
    </rPh>
    <rPh sb="4" eb="6">
      <t>カンリ</t>
    </rPh>
    <phoneticPr fontId="2"/>
  </si>
  <si>
    <t>環境依存の設定値は環境変数で渡す。</t>
    <rPh sb="0" eb="4">
      <t>カンキョウイゾン</t>
    </rPh>
    <rPh sb="5" eb="8">
      <t>セッテイチ</t>
    </rPh>
    <rPh sb="9" eb="13">
      <t>カンキョウヘンスウ</t>
    </rPh>
    <rPh sb="14" eb="15">
      <t>ワタ</t>
    </rPh>
    <phoneticPr fontId="2"/>
  </si>
  <si>
    <t>多重起動の防止</t>
    <rPh sb="0" eb="4">
      <t>タジュウキドウ</t>
    </rPh>
    <rPh sb="5" eb="7">
      <t>ボウシ</t>
    </rPh>
    <phoneticPr fontId="2"/>
  </si>
  <si>
    <t>ステートマシンでは、まず冒頭で多重起動のチェックを行う。</t>
    <rPh sb="12" eb="14">
      <t>ボウトウ</t>
    </rPh>
    <rPh sb="15" eb="19">
      <t>タジュウキドウ</t>
    </rPh>
    <rPh sb="25" eb="26">
      <t>オコナ</t>
    </rPh>
    <phoneticPr fontId="2"/>
  </si>
  <si>
    <t>※重複起動は同じ処理対象に対して複数ジョブネットが起動されることを指しているのに対して、</t>
    <rPh sb="1" eb="3">
      <t>チョウフク</t>
    </rPh>
    <rPh sb="3" eb="5">
      <t>キドウ</t>
    </rPh>
    <rPh sb="6" eb="7">
      <t>オナ</t>
    </rPh>
    <rPh sb="8" eb="12">
      <t>ショリタイショウ</t>
    </rPh>
    <rPh sb="13" eb="14">
      <t>タイ</t>
    </rPh>
    <rPh sb="16" eb="18">
      <t>フクスウ</t>
    </rPh>
    <rPh sb="25" eb="27">
      <t>キドウ</t>
    </rPh>
    <rPh sb="33" eb="34">
      <t>サ</t>
    </rPh>
    <rPh sb="40" eb="41">
      <t>タイ</t>
    </rPh>
    <phoneticPr fontId="2"/>
  </si>
  <si>
    <t>　多重起動は単純にジョブネットが複数同時に起動されることを指す。</t>
    <phoneticPr fontId="2"/>
  </si>
  <si>
    <t>多重起動しているかどうかのチェックは、TaskステートでlistExecutions APIを呼び出して実施する。</t>
    <phoneticPr fontId="2"/>
  </si>
  <si>
    <t>listExecutions | AWS Step Functions API Reference</t>
    <phoneticPr fontId="2"/>
  </si>
  <si>
    <t>このレスポンスのexecutionsの件数が、起動中の当該ステートマシンの件数となる。</t>
    <rPh sb="19" eb="21">
      <t>ケンスウ</t>
    </rPh>
    <rPh sb="23" eb="26">
      <t>キドウチュウ</t>
    </rPh>
    <rPh sb="27" eb="29">
      <t>トウガイ</t>
    </rPh>
    <rPh sb="37" eb="39">
      <t>ケンスウ</t>
    </rPh>
    <phoneticPr fontId="2"/>
  </si>
  <si>
    <t>この件数が2件以上（1件は現在実行しているステートマシン）の場合は、多重起動しているものとしてエラー終了とする。</t>
    <rPh sb="2" eb="4">
      <t>ケンスウ</t>
    </rPh>
    <rPh sb="6" eb="9">
      <t>ケンイジョウ</t>
    </rPh>
    <rPh sb="30" eb="32">
      <t>バアイ</t>
    </rPh>
    <rPh sb="34" eb="38">
      <t>タジュウキドウ</t>
    </rPh>
    <rPh sb="50" eb="52">
      <t>シュウリョウ</t>
    </rPh>
    <phoneticPr fontId="2"/>
  </si>
  <si>
    <t>ステートの入力の引き渡し</t>
    <rPh sb="5" eb="7">
      <t>ニュウリョク</t>
    </rPh>
    <rPh sb="8" eb="9">
      <t>ヒ</t>
    </rPh>
    <rPh sb="10" eb="11">
      <t>ワタ</t>
    </rPh>
    <phoneticPr fontId="2"/>
  </si>
  <si>
    <t>ステートマシンの各ステートでは、それぞれのステートの入力を出力に引き渡すようにする。</t>
    <rPh sb="8" eb="9">
      <t>カク</t>
    </rPh>
    <rPh sb="26" eb="28">
      <t>ニュウリョク</t>
    </rPh>
    <rPh sb="29" eb="31">
      <t>シュツリョク</t>
    </rPh>
    <rPh sb="32" eb="33">
      <t>ヒ</t>
    </rPh>
    <rPh sb="34" eb="35">
      <t>ワタ</t>
    </rPh>
    <phoneticPr fontId="2"/>
  </si>
  <si>
    <t>これにより、ステートマシン起動時の入力パラメータをジョブなどに引き渡すことができる。</t>
    <rPh sb="13" eb="16">
      <t>キドウジ</t>
    </rPh>
    <rPh sb="17" eb="19">
      <t>ニュウリョク</t>
    </rPh>
    <rPh sb="31" eb="32">
      <t>ヒ</t>
    </rPh>
    <rPh sb="33" eb="34">
      <t>ワタ</t>
    </rPh>
    <phoneticPr fontId="2"/>
  </si>
  <si>
    <t>具体的には、ステートのOutputを以下のように実装する。</t>
    <rPh sb="0" eb="3">
      <t>グタイテキ</t>
    </rPh>
    <rPh sb="18" eb="20">
      <t>イカ</t>
    </rPh>
    <rPh sb="24" eb="26">
      <t>ジッソウ</t>
    </rPh>
    <phoneticPr fontId="2"/>
  </si>
  <si>
    <t>"Output": "{% $state.input %}"</t>
    <phoneticPr fontId="2"/>
  </si>
  <si>
    <t>なお、Lambdaの出力などステートの結果を次のステートに引き渡したい場合は、以下のようにmerge関数を利用してステートの入力に</t>
    <rPh sb="10" eb="12">
      <t>シュツリョク</t>
    </rPh>
    <rPh sb="19" eb="21">
      <t>ケッカ</t>
    </rPh>
    <rPh sb="22" eb="23">
      <t>ツギ</t>
    </rPh>
    <rPh sb="29" eb="30">
      <t>ヒ</t>
    </rPh>
    <rPh sb="31" eb="32">
      <t>ワタ</t>
    </rPh>
    <rPh sb="35" eb="37">
      <t>バアイ</t>
    </rPh>
    <rPh sb="39" eb="41">
      <t>イカ</t>
    </rPh>
    <rPh sb="50" eb="52">
      <t>カンスウ</t>
    </rPh>
    <rPh sb="53" eb="55">
      <t>リヨウ</t>
    </rPh>
    <rPh sb="62" eb="64">
      <t>ニュウリョク</t>
    </rPh>
    <phoneticPr fontId="2"/>
  </si>
  <si>
    <t>ステートの出力をマージする（ステートの出力はJSON形式である必要がある）。</t>
    <rPh sb="19" eb="21">
      <t>シュツリョク</t>
    </rPh>
    <rPh sb="26" eb="28">
      <t>ケイシキ</t>
    </rPh>
    <rPh sb="31" eb="33">
      <t>ヒツヨウ</t>
    </rPh>
    <phoneticPr fontId="2"/>
  </si>
  <si>
    <t>"Output": "{% $merge([$states.input, {'batchVars': $states.result}]) %}"</t>
    <phoneticPr fontId="2"/>
  </si>
  <si>
    <t>ジョブ入力情報の生成</t>
    <rPh sb="3" eb="5">
      <t>ニュウリョク</t>
    </rPh>
    <rPh sb="5" eb="7">
      <t>ジョウホウ</t>
    </rPh>
    <rPh sb="8" eb="10">
      <t>セイセイ</t>
    </rPh>
    <phoneticPr fontId="2"/>
  </si>
  <si>
    <t>ジョブに渡すデータをステート上で生成したり、データの変換を行う場合は、ジョブの起動の前にPassステートを配置して処理を行う。</t>
    <phoneticPr fontId="2"/>
  </si>
  <si>
    <t>※例えばEventBridgeから渡されたイベントデータを変換し、複数のジョブで共通の入力データとして扱いたい場合など。</t>
    <phoneticPr fontId="2"/>
  </si>
  <si>
    <t>バッチのコマンドライン引数の指定</t>
    <rPh sb="11" eb="13">
      <t>ヒキスウ</t>
    </rPh>
    <rPh sb="14" eb="16">
      <t>シテイ</t>
    </rPh>
    <phoneticPr fontId="2"/>
  </si>
  <si>
    <t>Nablarchバッチは、起動時にコマンドライン引数で実行するバッチ処理（アクションクラスのパス）を指定する必要があるので、</t>
    <rPh sb="13" eb="16">
      <t>キドウジ</t>
    </rPh>
    <rPh sb="24" eb="26">
      <t>ヒキスウ</t>
    </rPh>
    <rPh sb="27" eb="29">
      <t>ジッコウ</t>
    </rPh>
    <rPh sb="34" eb="36">
      <t>ショリ</t>
    </rPh>
    <rPh sb="50" eb="52">
      <t>シテイ</t>
    </rPh>
    <rPh sb="54" eb="56">
      <t>ヒツヨウ</t>
    </rPh>
    <phoneticPr fontId="2"/>
  </si>
  <si>
    <t>このタスク定義の上書きの中で起動するバッチ処理を指定するように設定する。</t>
    <rPh sb="5" eb="7">
      <t>テイギ</t>
    </rPh>
    <rPh sb="8" eb="10">
      <t>ウワガ</t>
    </rPh>
    <rPh sb="12" eb="13">
      <t>ナカ</t>
    </rPh>
    <rPh sb="14" eb="16">
      <t>キドウ</t>
    </rPh>
    <rPh sb="21" eb="23">
      <t>ショリ</t>
    </rPh>
    <rPh sb="24" eb="26">
      <t>シテイ</t>
    </rPh>
    <rPh sb="31" eb="33">
      <t>セッテイ</t>
    </rPh>
    <phoneticPr fontId="2"/>
  </si>
  <si>
    <t>ステートの定義の例</t>
    <rPh sb="5" eb="7">
      <t>テイギ</t>
    </rPh>
    <rPh sb="8" eb="9">
      <t>レイ</t>
    </rPh>
    <phoneticPr fontId="2"/>
  </si>
  <si>
    <t>{
  "States": {
    "Run ECS Task": {
      ...
      "Arguments": {
        ...
        "Overrides": {
          ...
          "ContainerOverrides": [
            {
              ...
              "Command": [
                "-diConfig",
                "classpath:batch-boot.xml",
                "-requestPath",
                "FooBatchAction",
                "-userId",
                "batch_user"
              ]
            }
          ]
        }
      }
    }
  }
}</t>
    <phoneticPr fontId="2"/>
  </si>
  <si>
    <t>JVM引数の実行時指定</t>
    <rPh sb="3" eb="5">
      <t>ヒキスウ</t>
    </rPh>
    <rPh sb="6" eb="11">
      <t>ジッコウジシテイ</t>
    </rPh>
    <phoneticPr fontId="2"/>
  </si>
  <si>
    <t>ジョブネットのリラン時などで、ECSタスクで起動するJavaプログラムに対してJVM引数を与えたいことがある。</t>
    <rPh sb="10" eb="11">
      <t>ジ</t>
    </rPh>
    <rPh sb="22" eb="24">
      <t>キドウ</t>
    </rPh>
    <rPh sb="36" eb="37">
      <t>タイ</t>
    </rPh>
    <rPh sb="42" eb="44">
      <t>ヒキスウ</t>
    </rPh>
    <rPh sb="45" eb="46">
      <t>アタ</t>
    </rPh>
    <phoneticPr fontId="3"/>
  </si>
  <si>
    <t>たとえば業務日付をシステムプロパティで指定する場合などである。</t>
    <rPh sb="4" eb="8">
      <t>ギョウムヒヅケ</t>
    </rPh>
    <rPh sb="19" eb="21">
      <t>シテイ</t>
    </rPh>
    <rPh sb="23" eb="25">
      <t>バアイ</t>
    </rPh>
    <phoneticPr fontId="3"/>
  </si>
  <si>
    <t>JVM引数の追加指定は、以下の組み合わせで実現する。</t>
    <rPh sb="3" eb="5">
      <t>ヒキスウ</t>
    </rPh>
    <rPh sb="6" eb="8">
      <t>ツイカ</t>
    </rPh>
    <rPh sb="8" eb="10">
      <t>シテイ</t>
    </rPh>
    <rPh sb="12" eb="14">
      <t>イカ</t>
    </rPh>
    <rPh sb="15" eb="16">
      <t>ク</t>
    </rPh>
    <rPh sb="17" eb="18">
      <t>ア</t>
    </rPh>
    <rPh sb="21" eb="23">
      <t>ジツゲン</t>
    </rPh>
    <phoneticPr fontId="3"/>
  </si>
  <si>
    <t>①</t>
    <phoneticPr fontId="3"/>
  </si>
  <si>
    <t>EventBridgeのInput Transformerのテンプレートに、あらかじめ追加分のJVM引数を指定する枠を設けておく</t>
    <rPh sb="43" eb="45">
      <t>ツイカ</t>
    </rPh>
    <rPh sb="45" eb="46">
      <t>ブン</t>
    </rPh>
    <rPh sb="50" eb="52">
      <t>ヒキスウ</t>
    </rPh>
    <rPh sb="53" eb="55">
      <t>シテイ</t>
    </rPh>
    <rPh sb="57" eb="58">
      <t>ワク</t>
    </rPh>
    <rPh sb="59" eb="60">
      <t>モウ</t>
    </rPh>
    <phoneticPr fontId="3"/>
  </si>
  <si>
    <t>②</t>
    <phoneticPr fontId="3"/>
  </si>
  <si>
    <t>Step Functionsから起動されるステートマシンからECSタスクのジョブを起動する際に、追加分のJVM引数を環境変数として上書き設定する</t>
    <rPh sb="16" eb="18">
      <t>キドウ</t>
    </rPh>
    <rPh sb="41" eb="43">
      <t>キドウ</t>
    </rPh>
    <rPh sb="45" eb="46">
      <t>サイ</t>
    </rPh>
    <rPh sb="48" eb="51">
      <t>ツイカブン</t>
    </rPh>
    <rPh sb="55" eb="57">
      <t>ヒキスウ</t>
    </rPh>
    <rPh sb="58" eb="62">
      <t>カンキョウヘンスウ</t>
    </rPh>
    <rPh sb="65" eb="67">
      <t>ウワガ</t>
    </rPh>
    <rPh sb="68" eb="70">
      <t>セッテイ</t>
    </rPh>
    <phoneticPr fontId="3"/>
  </si>
  <si>
    <t>③</t>
    <phoneticPr fontId="3"/>
  </si>
  <si>
    <t>ECSタスクにより起動されるコンテナイメージのENTRYPOINTをシェルスクリプトとし、追加分のJVM引数を環境変数で参照するようにしておく</t>
    <rPh sb="9" eb="11">
      <t>キドウ</t>
    </rPh>
    <rPh sb="45" eb="47">
      <t>ツイカ</t>
    </rPh>
    <rPh sb="47" eb="48">
      <t>ブン</t>
    </rPh>
    <rPh sb="52" eb="54">
      <t>ヒキスウ</t>
    </rPh>
    <rPh sb="55" eb="59">
      <t>カンキョウヘンスウ</t>
    </rPh>
    <rPh sb="60" eb="62">
      <t>サンショウ</t>
    </rPh>
    <phoneticPr fontId="3"/>
  </si>
  <si>
    <t>EventBridgeのInput Transformerには、以下のように追加分のJVM引数を指定する枠（extraJavaOpts）を設けておく。</t>
    <rPh sb="32" eb="34">
      <t>イカ</t>
    </rPh>
    <rPh sb="38" eb="40">
      <t>ツイカ</t>
    </rPh>
    <rPh sb="40" eb="41">
      <t>ブン</t>
    </rPh>
    <rPh sb="45" eb="47">
      <t>ヒキスウ</t>
    </rPh>
    <rPh sb="48" eb="50">
      <t>シテイ</t>
    </rPh>
    <rPh sb="52" eb="53">
      <t>ワク</t>
    </rPh>
    <rPh sb="69" eb="70">
      <t>モウ</t>
    </rPh>
    <phoneticPr fontId="3"/>
  </si>
  <si>
    <t>"jobNetInput": {</t>
    <phoneticPr fontId="3"/>
  </si>
  <si>
    <t>...</t>
    <phoneticPr fontId="3"/>
  </si>
  <si>
    <t>"extraJavaOpts": ""</t>
    <phoneticPr fontId="3"/>
  </si>
  <si>
    <t>}</t>
    <phoneticPr fontId="3"/>
  </si>
  <si>
    <t>通常はこの項目は空に指定しておき、リラン時などに必要に応じて値を設定する。この時、入力のテンプレートとしてStep Functionsの</t>
    <rPh sb="0" eb="2">
      <t>ツウジョウ</t>
    </rPh>
    <rPh sb="5" eb="7">
      <t>コウモク</t>
    </rPh>
    <rPh sb="8" eb="9">
      <t>カラ</t>
    </rPh>
    <rPh sb="10" eb="12">
      <t>シテイ</t>
    </rPh>
    <rPh sb="20" eb="21">
      <t>ジ</t>
    </rPh>
    <rPh sb="24" eb="26">
      <t>ヒツヨウ</t>
    </rPh>
    <rPh sb="27" eb="28">
      <t>オウ</t>
    </rPh>
    <rPh sb="30" eb="31">
      <t>アタイ</t>
    </rPh>
    <rPh sb="32" eb="34">
      <t>セッテイ</t>
    </rPh>
    <rPh sb="39" eb="40">
      <t>トキ</t>
    </rPh>
    <rPh sb="41" eb="43">
      <t>ニュウリョク</t>
    </rPh>
    <phoneticPr fontId="3"/>
  </si>
  <si>
    <t>実行履歴から指定して実行する。</t>
    <rPh sb="0" eb="4">
      <t>ジッコウリレキ</t>
    </rPh>
    <rPh sb="6" eb="8">
      <t>シテイ</t>
    </rPh>
    <rPh sb="10" eb="12">
      <t>ジッコウ</t>
    </rPh>
    <phoneticPr fontId="3"/>
  </si>
  <si>
    <t>次に、ステートマシンからECSタスクのジョブを起動する際に、Overrides.ContainerOverrides.Environmentオプションを使って</t>
    <rPh sb="0" eb="1">
      <t>ツギ</t>
    </rPh>
    <rPh sb="23" eb="25">
      <t>キドウ</t>
    </rPh>
    <rPh sb="27" eb="28">
      <t>サイ</t>
    </rPh>
    <rPh sb="76" eb="77">
      <t>ツカ</t>
    </rPh>
    <phoneticPr fontId="2"/>
  </si>
  <si>
    <t>環境変数にこの値を上書き設定する。</t>
    <phoneticPr fontId="2"/>
  </si>
  <si>
    <t>{
  "States": {
    "Run ECS Task": {
      ...
      "Arguments": {
        ...
        "Overrides": {
          ...
          "ContainerOverrides": [
            {
              ...
              "Environment": [
                {
                  "EXTRA_JAVA_OPTS": "{% $states.input.jobNetInput.extraJavaOpts %}"
                },
                ...
              ]
            }
          ]
        }
      }
    }
  }
}</t>
    <phoneticPr fontId="2"/>
  </si>
  <si>
    <t>Javaプログラムを起動するコマンドの例</t>
    <rPh sb="10" eb="12">
      <t>キドウ</t>
    </rPh>
    <rPh sb="19" eb="20">
      <t>レイ</t>
    </rPh>
    <phoneticPr fontId="2"/>
  </si>
  <si>
    <t>exec java $EXTRA_JAVA_OPTS ...</t>
    <phoneticPr fontId="2"/>
  </si>
  <si>
    <t>以上の方法により、実行時にJVM引数を追加で指定できる仕組みを実現する。</t>
    <rPh sb="0" eb="2">
      <t>イジョウ</t>
    </rPh>
    <rPh sb="3" eb="5">
      <t>ホウホウ</t>
    </rPh>
    <rPh sb="9" eb="12">
      <t>ジッコウジ</t>
    </rPh>
    <rPh sb="16" eb="18">
      <t>ヒキスウ</t>
    </rPh>
    <rPh sb="19" eb="21">
      <t>ツイカ</t>
    </rPh>
    <rPh sb="22" eb="24">
      <t>シテイ</t>
    </rPh>
    <rPh sb="27" eb="29">
      <t>シク</t>
    </rPh>
    <rPh sb="31" eb="33">
      <t>ジツゲン</t>
    </rPh>
    <phoneticPr fontId="2"/>
  </si>
  <si>
    <t>なお、ジョブネットの実行時に変化のない基本的なJVM引数、JVMヒープの設定などはあらかじめECSタスクの定義で設定するものとする。</t>
  </si>
  <si>
    <t>この設定にはJDK_JAVA_OPTIONS環境変数を使用する。この環境変数は、javaコマンド実行時にJVM引数として認識される仕様となっている。</t>
    <rPh sb="34" eb="38">
      <t>カンキョウヘンスウ</t>
    </rPh>
    <rPh sb="48" eb="51">
      <t>ジッコウジ</t>
    </rPh>
    <rPh sb="65" eb="67">
      <t>シヨウ</t>
    </rPh>
    <phoneticPr fontId="2"/>
  </si>
  <si>
    <t>基本的な処理シーケンス</t>
    <phoneticPr fontId="2"/>
  </si>
  <si>
    <t>都度起動バッチの基本的な処理シーケンスは下記のとおり。</t>
    <phoneticPr fontId="2"/>
  </si>
  <si>
    <t>都度起動バッチでは、バッチプログラムの処理対象データを決定する処理を業務コンポーネントで行う。</t>
    <phoneticPr fontId="2"/>
  </si>
  <si>
    <t>また、バッチプログラムによってはトランザクション終了時に対象データの処理状態を更新する</t>
    <rPh sb="24" eb="26">
      <t>シュウリョウ</t>
    </rPh>
    <phoneticPr fontId="2"/>
  </si>
  <si>
    <t>「トランザクション正常終了処理」または「トランザクション異常終了処理」も行う。</t>
    <phoneticPr fontId="2"/>
  </si>
  <si>
    <t>コミット間隔</t>
    <phoneticPr fontId="2"/>
  </si>
  <si>
    <t>都度起動バッチにはオンライン閉局後に日次や月次など大量のデータを一括処理するものが多いため、</t>
    <phoneticPr fontId="2"/>
  </si>
  <si>
    <t>性能対策としてトランザクションを複数件でまとめてコミットする方式を採用する。</t>
    <rPh sb="18" eb="19">
      <t>ケン</t>
    </rPh>
    <rPh sb="30" eb="32">
      <t>ホウシキ</t>
    </rPh>
    <rPh sb="33" eb="35">
      <t>サイヨウ</t>
    </rPh>
    <phoneticPr fontId="2"/>
  </si>
  <si>
    <t>Nablarchのバッチ実行基盤では、「コミット間隔（リクエスト何件処理毎にコミットするか）」を指定できる。</t>
    <phoneticPr fontId="2"/>
  </si>
  <si>
    <t>コミット間隔が大きすぎるとDBのトランザクション管理領域に負荷を与えることがあるので、</t>
    <phoneticPr fontId="2"/>
  </si>
  <si>
    <t>1000件を基本とし必要に応じて調整を行う。</t>
    <rPh sb="6" eb="8">
      <t>キホン</t>
    </rPh>
    <rPh sb="10" eb="12">
      <t>ヒツヨウ</t>
    </rPh>
    <rPh sb="13" eb="14">
      <t>オウ</t>
    </rPh>
    <rPh sb="16" eb="18">
      <t>チョウセイ</t>
    </rPh>
    <rPh sb="19" eb="20">
      <t>オコナ</t>
    </rPh>
    <phoneticPr fontId="2"/>
  </si>
  <si>
    <t>0件データ処理</t>
    <phoneticPr fontId="2"/>
  </si>
  <si>
    <t>DBからの入力データが0件の場合</t>
    <phoneticPr fontId="2"/>
  </si>
  <si>
    <t>DBのテーブルから取得した入力データのレコードが0件の場合は、処理対象無しとみなしジョブを正常終了させる。</t>
  </si>
  <si>
    <t>入力データが0件であることが業務的に異常である場合は、前段の入力データ作成処理にて検知できるよう設計する。</t>
    <phoneticPr fontId="2"/>
  </si>
  <si>
    <t>入力ファイルの行データが0件の場合</t>
    <phoneticPr fontId="2"/>
  </si>
  <si>
    <t>入力ファイルの行データが0件(0 Byte)の場合は、処理対象無しとみなしジョブを正常終了させる。</t>
    <phoneticPr fontId="2"/>
  </si>
  <si>
    <t>入力ファイルが存在しない場合</t>
    <phoneticPr fontId="2"/>
  </si>
  <si>
    <t>入力ファイルが存在しない場合は、前段の処理が異常終了もしくは遅延しているとみなし、ジョブを異常終了させる。</t>
    <rPh sb="0" eb="2">
      <t>ニュウリョク</t>
    </rPh>
    <phoneticPr fontId="2"/>
  </si>
  <si>
    <t>ただし、仕様上前段ジョブがファイルを出力しないことが許容される場合においては、後段ジョブは処理をスキップしてジョブを正常終了させる。</t>
    <rPh sb="4" eb="7">
      <t>シヨウジョウ</t>
    </rPh>
    <rPh sb="7" eb="9">
      <t>ゼンダン</t>
    </rPh>
    <rPh sb="18" eb="20">
      <t>シュツリョク</t>
    </rPh>
    <rPh sb="26" eb="28">
      <t>キョヨウ</t>
    </rPh>
    <rPh sb="31" eb="33">
      <t>バアイ</t>
    </rPh>
    <rPh sb="39" eb="41">
      <t>コウダン</t>
    </rPh>
    <rPh sb="45" eb="47">
      <t>ショリ</t>
    </rPh>
    <rPh sb="58" eb="62">
      <t>セイジョウシュウリョウ</t>
    </rPh>
    <phoneticPr fontId="2"/>
  </si>
  <si>
    <t>処理済みデータの設定</t>
    <phoneticPr fontId="2"/>
  </si>
  <si>
    <t>入力データがDBデータの場合</t>
    <phoneticPr fontId="2"/>
  </si>
  <si>
    <t>入力データの関連データに処理済みフラグを保持し、１件毎にマークを付ける。</t>
  </si>
  <si>
    <t>対象となる入力データを特定する際に、このフラグにマークが付いていないことを条件とすることで、</t>
    <phoneticPr fontId="2"/>
  </si>
  <si>
    <t>再実行時には未処理データのみを処理対象とすることが出来る。</t>
    <phoneticPr fontId="2"/>
  </si>
  <si>
    <t>入力データがファイルの場合</t>
    <phoneticPr fontId="2"/>
  </si>
  <si>
    <t>Nablarchの提供するResumeDataReaderを使用することで、処理済み件数の記録を行う。</t>
    <rPh sb="9" eb="11">
      <t>テイキョウ</t>
    </rPh>
    <rPh sb="30" eb="32">
      <t>シヨウ</t>
    </rPh>
    <rPh sb="38" eb="41">
      <t>ショリズ</t>
    </rPh>
    <rPh sb="42" eb="44">
      <t>ケンスウ</t>
    </rPh>
    <rPh sb="45" eb="47">
      <t>キロク</t>
    </rPh>
    <rPh sb="48" eb="49">
      <t>オコナ</t>
    </rPh>
    <phoneticPr fontId="2"/>
  </si>
  <si>
    <t>これにより、再実行時は未処理箇所から読み込みが再開されるようになる。</t>
    <rPh sb="6" eb="10">
      <t>サイジッコウジ</t>
    </rPh>
    <rPh sb="11" eb="16">
      <t>ミショリカショ</t>
    </rPh>
    <rPh sb="18" eb="19">
      <t>ヨ</t>
    </rPh>
    <rPh sb="20" eb="21">
      <t>コ</t>
    </rPh>
    <rPh sb="23" eb="25">
      <t>サイカイ</t>
    </rPh>
    <phoneticPr fontId="2"/>
  </si>
  <si>
    <t>このため、業務コンポーネントでは特に処理済みデータの設定は不要である。</t>
    <phoneticPr fontId="2"/>
  </si>
  <si>
    <t>バッチジョブ間のデータ連携</t>
    <rPh sb="6" eb="7">
      <t>カン</t>
    </rPh>
    <rPh sb="11" eb="13">
      <t>レンケイ</t>
    </rPh>
    <phoneticPr fontId="2"/>
  </si>
  <si>
    <t>本システムでは個々のバッチジョブはコンテナで実行するため、バッチジョブ間でのデータ連携にローカルファイルは使用できない。</t>
    <rPh sb="0" eb="1">
      <t>ホン</t>
    </rPh>
    <rPh sb="7" eb="9">
      <t>ココ</t>
    </rPh>
    <rPh sb="22" eb="24">
      <t>ジッコウ</t>
    </rPh>
    <rPh sb="35" eb="36">
      <t>カン</t>
    </rPh>
    <rPh sb="41" eb="43">
      <t>レンケイ</t>
    </rPh>
    <rPh sb="53" eb="55">
      <t>シヨウ</t>
    </rPh>
    <phoneticPr fontId="2"/>
  </si>
  <si>
    <t>したがってバッチジョブ間でデータ連携を行う場合は、基本的にDBを経由して連携を行う方針とする。</t>
    <rPh sb="11" eb="12">
      <t>カン</t>
    </rPh>
    <rPh sb="16" eb="18">
      <t>レンケイ</t>
    </rPh>
    <rPh sb="19" eb="20">
      <t>オコナ</t>
    </rPh>
    <rPh sb="21" eb="23">
      <t>バアイ</t>
    </rPh>
    <rPh sb="25" eb="28">
      <t>キホンテキ</t>
    </rPh>
    <rPh sb="32" eb="34">
      <t>ケイユ</t>
    </rPh>
    <rPh sb="36" eb="38">
      <t>レンケイ</t>
    </rPh>
    <rPh sb="39" eb="40">
      <t>オコナ</t>
    </rPh>
    <rPh sb="41" eb="43">
      <t>ホウシン</t>
    </rPh>
    <phoneticPr fontId="2"/>
  </si>
  <si>
    <t>エラー処理</t>
    <rPh sb="3" eb="5">
      <t>ショリ</t>
    </rPh>
    <phoneticPr fontId="2"/>
  </si>
  <si>
    <t>エラーの種類</t>
    <phoneticPr fontId="2"/>
  </si>
  <si>
    <t>本システムでは、エラーの種類を下記の２種類に分類する。</t>
  </si>
  <si>
    <t>①</t>
    <phoneticPr fontId="2"/>
  </si>
  <si>
    <t>業務エラー</t>
    <phoneticPr fontId="2"/>
  </si>
  <si>
    <t>入力値（入力したDBデータやファイル等）として不正な値を受け取った場合のエラー。</t>
    <rPh sb="4" eb="6">
      <t>ニュウリョク</t>
    </rPh>
    <rPh sb="28" eb="29">
      <t>ウ</t>
    </rPh>
    <rPh sb="30" eb="31">
      <t>ト</t>
    </rPh>
    <phoneticPr fontId="2"/>
  </si>
  <si>
    <t>このエラーは、予期可能なエラーであり、多くは業務処理の中で行う精査処理で発生する。</t>
    <phoneticPr fontId="2"/>
  </si>
  <si>
    <t>精査処理の詳細は、【7.1入力値精査】を参照。</t>
    <phoneticPr fontId="2"/>
  </si>
  <si>
    <t>②</t>
    <phoneticPr fontId="2"/>
  </si>
  <si>
    <t>システムエラー</t>
    <phoneticPr fontId="2"/>
  </si>
  <si>
    <t>事前に予期できないエラーの事を指す。例えば、データベース等のミドルウェアに起因するエラーやプログラムバグが該当する。</t>
    <phoneticPr fontId="2"/>
  </si>
  <si>
    <t>エラー発生時の共通方針</t>
    <phoneticPr fontId="2"/>
  </si>
  <si>
    <t>エラーハンドリング</t>
    <phoneticPr fontId="2"/>
  </si>
  <si>
    <t>エラー発生時の制御は、エラーを処理するハンドラで共通的に行う。このため、個別プログラムでのエラーハンドリングは行わない。</t>
    <phoneticPr fontId="2"/>
  </si>
  <si>
    <t>ただし、本来システムエラーとなるデータベースの重複エラーを業務エラーに付け替える必要がある場合（業務精査として重複エラーを</t>
    <phoneticPr fontId="2"/>
  </si>
  <si>
    <t>使用する場合）や、業務エラーをトリガーとして業務処理を行う必要が有る場合はこの限りではない。</t>
    <phoneticPr fontId="2"/>
  </si>
  <si>
    <t>トランザクションのロールバック</t>
    <phoneticPr fontId="2"/>
  </si>
  <si>
    <t>エラー発生時には現在のトランザクションをロールバックし、更新途中の内容は破棄する。これにより、</t>
    <rPh sb="30" eb="32">
      <t>トチュウ</t>
    </rPh>
    <rPh sb="33" eb="35">
      <t>ナイヨウ</t>
    </rPh>
    <phoneticPr fontId="2"/>
  </si>
  <si>
    <t>業務データが不正な状態（データの不整合等）となることを防止する。</t>
    <phoneticPr fontId="2"/>
  </si>
  <si>
    <t>なお、トランザクションのロールバック処理は、透過的トランザクション機能(実行制御基盤)で行う。</t>
    <phoneticPr fontId="2"/>
  </si>
  <si>
    <t>このため、個別プログラムでのトランザクション制御は必要ない。</t>
    <phoneticPr fontId="2"/>
  </si>
  <si>
    <t>ログ出力</t>
    <phoneticPr fontId="2"/>
  </si>
  <si>
    <t>ユーザからの問い合わせに対応するための証跡ログや、障害が発生したことを障害監視ツールに通知することを目的としたログ出力を行う。</t>
  </si>
  <si>
    <t>必要なログ出力は共通処理の中で行うため、個別プログラムでログ出力を実装する必要はない。</t>
    <rPh sb="0" eb="2">
      <t>ヒツヨウ</t>
    </rPh>
    <rPh sb="5" eb="7">
      <t>シュツリョク</t>
    </rPh>
    <rPh sb="8" eb="10">
      <t>キョウツウ</t>
    </rPh>
    <rPh sb="10" eb="12">
      <t>ショリ</t>
    </rPh>
    <rPh sb="13" eb="14">
      <t>ナカ</t>
    </rPh>
    <rPh sb="15" eb="16">
      <t>オコナ</t>
    </rPh>
    <rPh sb="20" eb="22">
      <t>コベツ</t>
    </rPh>
    <rPh sb="30" eb="32">
      <t>シュツリョク</t>
    </rPh>
    <rPh sb="33" eb="35">
      <t>ジッソウ</t>
    </rPh>
    <rPh sb="37" eb="39">
      <t>ヒツヨウ</t>
    </rPh>
    <phoneticPr fontId="2"/>
  </si>
  <si>
    <t>ログ出力内容の詳細は「7.13.ログ」を参照。</t>
    <phoneticPr fontId="2"/>
  </si>
  <si>
    <t>エラー発生時の処理</t>
    <phoneticPr fontId="2"/>
  </si>
  <si>
    <t>都度起動バッチでは、全てのエラー（業務エラー、システムエラー共に）を処理続行不可能なエラーとしバッチプログラムの処理を</t>
    <phoneticPr fontId="2"/>
  </si>
  <si>
    <t>停止しプロセスを異常終了する。ただし、個別業務機能において業務エラー発生時に処理を継続したい場合には、</t>
    <phoneticPr fontId="2"/>
  </si>
  <si>
    <t>エラーを捕捉して業務処理を行う。</t>
    <phoneticPr fontId="2"/>
  </si>
  <si>
    <t>なお、都度起動バッチ処理では、エラー発生時の自動リトライは行わないため、障害通知ログや入力データを元に障害原因の</t>
  </si>
  <si>
    <t>解析及び除去を行った後、異常終了したStep Functionsの実行履歴から該当ジョブネットを再実行する。</t>
  </si>
  <si>
    <t>ジョブネット内のECSタスクを手動実行することによる再実行は、履歴が残らないため行わない。</t>
  </si>
  <si>
    <t>エラー発生時の終了コード</t>
    <phoneticPr fontId="2"/>
  </si>
  <si>
    <t>バッチプログラム終了時には、以下の終了コードをバッチプログラムから返却する。このコードは、都度起動バッチを起動した</t>
    <phoneticPr fontId="2"/>
  </si>
  <si>
    <t>ECSタスクからStep Functionsに返却することにより後続ジョブが実行されることを防止する目的でも使用する。</t>
    <phoneticPr fontId="2"/>
  </si>
  <si>
    <t>本システムでは、以下の終了コードを使用する。</t>
    <phoneticPr fontId="2"/>
  </si>
  <si>
    <t>終了コード</t>
    <rPh sb="0" eb="2">
      <t>シュウリョウ</t>
    </rPh>
    <phoneticPr fontId="2"/>
  </si>
  <si>
    <t>20</t>
    <phoneticPr fontId="2"/>
  </si>
  <si>
    <t>システムエラー発生時の終了コード。</t>
    <phoneticPr fontId="2"/>
  </si>
  <si>
    <t>100～199</t>
    <phoneticPr fontId="2"/>
  </si>
  <si>
    <t>業務エラー発生時の終了コード。</t>
  </si>
  <si>
    <t>都度起動バッチ毎にエラー内容を一意に識別できるように、「100」から順に採番を行なう。</t>
    <phoneticPr fontId="2"/>
  </si>
  <si>
    <t>なお、業務エラーであっても終了コードが設定されていない場合は、</t>
    <phoneticPr fontId="2"/>
  </si>
  <si>
    <t>システムエラーと同じ「20」の終了コードを返す。</t>
    <rPh sb="21" eb="22">
      <t>カエ</t>
    </rPh>
    <phoneticPr fontId="2"/>
  </si>
  <si>
    <t>なお、都度起動バッチのコンテナイメージはJIBのMavenプラグインを使用して作成する。</t>
    <rPh sb="3" eb="7">
      <t>ツドキドウ</t>
    </rPh>
    <rPh sb="35" eb="37">
      <t>シヨウ</t>
    </rPh>
    <rPh sb="39" eb="41">
      <t>サクセイ</t>
    </rPh>
    <phoneticPr fontId="2"/>
  </si>
  <si>
    <t>なおジョブネットは、EventBridgeから直接Step Functionsを呼び出して起動するの</t>
    <rPh sb="24" eb="26">
      <t>チョクセツ</t>
    </rPh>
    <rPh sb="41" eb="42">
      <t>ヨ</t>
    </rPh>
    <rPh sb="43" eb="44">
      <t>ダ</t>
    </rPh>
    <rPh sb="46" eb="48">
      <t>キドウ</t>
    </rPh>
    <phoneticPr fontId="2"/>
  </si>
  <si>
    <t>ではなく、重複起動防止用のLambda関数を経由して起動する。</t>
    <rPh sb="5" eb="12">
      <t>チョウフクキドウボウシヨウ</t>
    </rPh>
    <rPh sb="19" eb="21">
      <t>カンスウ</t>
    </rPh>
    <rPh sb="22" eb="24">
      <t>ケイユ</t>
    </rPh>
    <rPh sb="26" eb="28">
      <t>キドウ</t>
    </rPh>
    <phoneticPr fontId="2"/>
  </si>
  <si>
    <t>この際、必要に応じてPassステートでジョブの入力情報を加工したり、Choiceステートで実行するジョブを選択する分岐を行うなどの制御を</t>
    <rPh sb="65" eb="67">
      <t>セイギョ</t>
    </rPh>
    <phoneticPr fontId="2"/>
  </si>
  <si>
    <t>行ってもよい。</t>
    <phoneticPr fontId="2"/>
  </si>
  <si>
    <t>算術演算や文字列連結など、高度な言語機能をサポート。JSONPathと比べてデータ変換が</t>
    <rPh sb="0" eb="2">
      <t>サンジュツ</t>
    </rPh>
    <rPh sb="2" eb="4">
      <t>エンザン</t>
    </rPh>
    <rPh sb="5" eb="8">
      <t>モジレツ</t>
    </rPh>
    <rPh sb="8" eb="10">
      <t>レンケツ</t>
    </rPh>
    <rPh sb="13" eb="15">
      <t>コウド</t>
    </rPh>
    <rPh sb="16" eb="20">
      <t>ゲンゴキノウ</t>
    </rPh>
    <rPh sb="35" eb="36">
      <t>クラ</t>
    </rPh>
    <rPh sb="41" eb="43">
      <t>ヘンカン</t>
    </rPh>
    <phoneticPr fontId="2"/>
  </si>
  <si>
    <t>高機能。</t>
    <phoneticPr fontId="2"/>
  </si>
  <si>
    <t>stateMachineArnで実行中のステートマシンのARNを指定しstateFilterに"RUNNING"を指定することで、起動中の当該ステートマシンの</t>
    <rPh sb="16" eb="19">
      <t>ジッコウチュウ</t>
    </rPh>
    <rPh sb="32" eb="34">
      <t>シテイ</t>
    </rPh>
    <rPh sb="57" eb="59">
      <t>シテイ</t>
    </rPh>
    <rPh sb="65" eb="68">
      <t>キドウチュウ</t>
    </rPh>
    <rPh sb="69" eb="71">
      <t>トウガイ</t>
    </rPh>
    <phoneticPr fontId="2"/>
  </si>
  <si>
    <t>情報を取得できる。</t>
    <phoneticPr fontId="2"/>
  </si>
  <si>
    <t>バッチ起動時のコマンドライン引数は、Step FunctionsのステートからECSタスクを起動するときにタスク定義のCommandを</t>
    <rPh sb="3" eb="6">
      <t>キドウジ</t>
    </rPh>
    <rPh sb="14" eb="16">
      <t>ヒキスウ</t>
    </rPh>
    <rPh sb="46" eb="48">
      <t>キドウ</t>
    </rPh>
    <rPh sb="56" eb="58">
      <t>テイギ</t>
    </rPh>
    <phoneticPr fontId="2"/>
  </si>
  <si>
    <t>上書きすることで指定する。</t>
    <phoneticPr fontId="2"/>
  </si>
  <si>
    <t>JVM引数の追加指定は、コンテナ内でJavaを起動するときのコマンドにJVM引数を環境変数で追加指定できるようにENTRYPOINTを</t>
    <rPh sb="3" eb="5">
      <t>ヒキスウ</t>
    </rPh>
    <rPh sb="6" eb="8">
      <t>ツイカ</t>
    </rPh>
    <rPh sb="8" eb="10">
      <t>シテイ</t>
    </rPh>
    <rPh sb="16" eb="17">
      <t>ナイ</t>
    </rPh>
    <rPh sb="23" eb="25">
      <t>キドウ</t>
    </rPh>
    <rPh sb="38" eb="40">
      <t>ヒキスウ</t>
    </rPh>
    <rPh sb="41" eb="45">
      <t>カンキョウヘンスウ</t>
    </rPh>
    <rPh sb="46" eb="48">
      <t>ツイカ</t>
    </rPh>
    <rPh sb="48" eb="50">
      <t>シテイ</t>
    </rPh>
    <phoneticPr fontId="2"/>
  </si>
  <si>
    <t>定義することで実現する。</t>
    <phoneticPr fontId="2"/>
  </si>
  <si>
    <t>JIBではcontainer.entrypointオプションで起動時に実行するアプリケーションを指定できるので、ここに上記設定を入れた</t>
    <rPh sb="31" eb="34">
      <t>キドウジ</t>
    </rPh>
    <rPh sb="35" eb="37">
      <t>ジッコウ</t>
    </rPh>
    <rPh sb="48" eb="50">
      <t>シテイ</t>
    </rPh>
    <rPh sb="59" eb="61">
      <t>ジョウキ</t>
    </rPh>
    <rPh sb="61" eb="63">
      <t>セッテイ</t>
    </rPh>
    <rPh sb="64" eb="65">
      <t>イ</t>
    </rPh>
    <phoneticPr fontId="2"/>
  </si>
  <si>
    <t>シェルスクリプトを指定する。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</si>
</sst>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b/>
      <sz val="9"/>
      <color theme="1"/>
      <name val="ＭＳ 明朝"/>
      <family val="1"/>
      <charset val="128"/>
    </font>
    <font>
      <u/>
      <sz val="11"/>
      <color theme="10"/>
      <name val="ＭＳ Ｐゴシック"/>
      <family val="2"/>
      <charset val="128"/>
      <scheme val="minor"/>
    </font>
    <font>
      <u/>
      <sz val="9"/>
      <color theme="10"/>
      <name val="ＭＳ 明朝"/>
      <family val="1"/>
      <charset val="128"/>
    </font>
    <font>
      <sz val="10"/>
      <color rgb="FF000000"/>
      <name val="ＭＳ Ｐゴシック"/>
      <family val="3"/>
      <charset val="128"/>
      <scheme val="minor"/>
    </font>
    <font>
      <u/>
      <sz val="9"/>
      <color theme="1"/>
      <name val="ＭＳ 明朝"/>
      <family val="1"/>
      <charset val="128"/>
    </font>
  </fonts>
  <fills count="6">
    <fill>
      <patternFill patternType="none"/>
    </fill>
    <fill>
      <patternFill patternType="gray125"/>
    </fill>
    <fill>
      <patternFill patternType="solid">
        <fgColor indexed="22"/>
        <bgColor indexed="64"/>
      </patternFill>
    </fill>
    <fill>
      <patternFill patternType="solid">
        <fgColor rgb="FFDAEEF3"/>
        <bgColor indexed="64"/>
      </patternFill>
    </fill>
    <fill>
      <patternFill patternType="solid">
        <fgColor theme="4" tint="0.79998168889431442"/>
        <bgColor indexed="64"/>
      </patternFill>
    </fill>
    <fill>
      <patternFill patternType="solid">
        <fgColor theme="8" tint="0.79998168889431442"/>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alignment vertical="center"/>
    </xf>
    <xf numFmtId="0" fontId="1" fillId="0" borderId="0"/>
    <xf numFmtId="0" fontId="1" fillId="0" borderId="0"/>
    <xf numFmtId="0" fontId="1" fillId="0" borderId="0"/>
    <xf numFmtId="0" fontId="7" fillId="0" borderId="0" applyNumberFormat="0" applyFill="0" applyBorder="0" applyAlignment="0" applyProtection="0">
      <alignment vertical="center"/>
    </xf>
  </cellStyleXfs>
  <cellXfs count="76">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7" xfId="0" applyFont="1" applyBorder="1">
      <alignment vertical="center"/>
    </xf>
    <xf numFmtId="0" fontId="4" fillId="0" borderId="8" xfId="0" applyFont="1" applyBorder="1">
      <alignment vertical="center"/>
    </xf>
    <xf numFmtId="0" fontId="6" fillId="0" borderId="0" xfId="0" applyFont="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2" xfId="0" applyFont="1" applyFill="1" applyBorder="1">
      <alignment vertical="center"/>
    </xf>
    <xf numFmtId="0" fontId="4" fillId="3" borderId="1" xfId="0" applyFont="1" applyFill="1" applyBorder="1">
      <alignment vertical="center"/>
    </xf>
    <xf numFmtId="0" fontId="4" fillId="3" borderId="3" xfId="0" applyFont="1" applyFill="1" applyBorder="1">
      <alignment vertical="center"/>
    </xf>
    <xf numFmtId="0" fontId="4" fillId="0" borderId="7" xfId="0" quotePrefix="1" applyFont="1" applyBorder="1">
      <alignment vertical="center"/>
    </xf>
    <xf numFmtId="0" fontId="4" fillId="0" borderId="1" xfId="0" quotePrefix="1" applyFont="1" applyBorder="1">
      <alignment vertical="center"/>
    </xf>
    <xf numFmtId="0" fontId="4" fillId="0" borderId="2" xfId="0" applyFont="1" applyBorder="1">
      <alignment vertical="center"/>
    </xf>
    <xf numFmtId="0" fontId="4" fillId="0" borderId="1" xfId="0" applyFont="1" applyBorder="1">
      <alignment vertical="center"/>
    </xf>
    <xf numFmtId="0" fontId="4" fillId="0" borderId="3" xfId="0" applyFont="1" applyBorder="1">
      <alignment vertical="center"/>
    </xf>
    <xf numFmtId="0" fontId="4" fillId="3" borderId="6" xfId="0" applyFont="1" applyFill="1" applyBorder="1">
      <alignment vertical="center"/>
    </xf>
    <xf numFmtId="0" fontId="1" fillId="0" borderId="0" xfId="0" applyFont="1" applyAlignment="1">
      <alignment horizontal="right" vertical="center"/>
    </xf>
    <xf numFmtId="0" fontId="4" fillId="0" borderId="0" xfId="0" applyFont="1" applyAlignment="1">
      <alignment horizontal="right" vertical="center"/>
    </xf>
    <xf numFmtId="0" fontId="8" fillId="0" borderId="0" xfId="4" applyFont="1">
      <alignment vertical="center"/>
    </xf>
    <xf numFmtId="0" fontId="9" fillId="0" borderId="0" xfId="0" applyFont="1" applyAlignment="1">
      <alignment horizontal="left" vertical="center"/>
    </xf>
    <xf numFmtId="0" fontId="4" fillId="4" borderId="4" xfId="0" applyFont="1" applyFill="1" applyBorder="1">
      <alignment vertical="center"/>
    </xf>
    <xf numFmtId="0" fontId="4" fillId="4" borderId="5" xfId="0" applyFont="1" applyFill="1" applyBorder="1">
      <alignment vertical="center"/>
    </xf>
    <xf numFmtId="0" fontId="4" fillId="4" borderId="1" xfId="0" applyFont="1" applyFill="1" applyBorder="1">
      <alignment vertical="center"/>
    </xf>
    <xf numFmtId="0" fontId="4" fillId="4" borderId="2" xfId="0" applyFont="1" applyFill="1" applyBorder="1">
      <alignment vertical="center"/>
    </xf>
    <xf numFmtId="0" fontId="4" fillId="4" borderId="3" xfId="0" applyFont="1" applyFill="1" applyBorder="1">
      <alignment vertical="center"/>
    </xf>
    <xf numFmtId="0" fontId="4" fillId="0" borderId="0" xfId="0" applyFont="1" applyAlignment="1">
      <alignment vertical="top"/>
    </xf>
    <xf numFmtId="0" fontId="0" fillId="0" borderId="0" xfId="0" applyAlignment="1"/>
    <xf numFmtId="0" fontId="10" fillId="0" borderId="0" xfId="0" applyFont="1">
      <alignment vertical="center"/>
    </xf>
    <xf numFmtId="0" fontId="4" fillId="0" borderId="0" xfId="0" applyFont="1" applyBorder="1">
      <alignment vertical="center"/>
    </xf>
    <xf numFmtId="0" fontId="4" fillId="5" borderId="1" xfId="0" applyFont="1" applyFill="1" applyBorder="1">
      <alignment vertical="center"/>
    </xf>
    <xf numFmtId="0" fontId="4" fillId="5" borderId="2" xfId="0" applyFont="1" applyFill="1" applyBorder="1">
      <alignment vertical="center"/>
    </xf>
    <xf numFmtId="0" fontId="4" fillId="5" borderId="3" xfId="0" applyFont="1" applyFill="1" applyBorder="1">
      <alignmen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xf numFmtId="0" fontId="4" fillId="4" borderId="9" xfId="0" applyFont="1" applyFill="1" applyBorder="1" applyAlignment="1">
      <alignment horizontal="center" vertical="center"/>
    </xf>
    <xf numFmtId="0" fontId="4" fillId="4" borderId="13" xfId="0"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FFFFCC"/>
      <color rgb="FFCCFFCC"/>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104775</xdr:colOff>
      <xdr:row>285</xdr:row>
      <xdr:rowOff>0</xdr:rowOff>
    </xdr:from>
    <xdr:to>
      <xdr:col>29</xdr:col>
      <xdr:colOff>161925</xdr:colOff>
      <xdr:row>323</xdr:row>
      <xdr:rowOff>111597</xdr:rowOff>
    </xdr:to>
    <xdr:pic>
      <xdr:nvPicPr>
        <xdr:cNvPr id="3" name="図 2">
          <a:extLst>
            <a:ext uri="{FF2B5EF4-FFF2-40B4-BE49-F238E27FC236}">
              <a16:creationId xmlns:a16="http://schemas.microsoft.com/office/drawing/2014/main" id="{8D5A1700-6EBC-486D-8B85-EA1F325678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09675" y="10829925"/>
          <a:ext cx="6962775" cy="5540847"/>
        </a:xfrm>
        <a:prstGeom prst="rect">
          <a:avLst/>
        </a:prstGeom>
        <a:ln w="12700">
          <a:solidFill>
            <a:schemeClr val="dk1"/>
          </a:solidFill>
        </a:ln>
      </xdr:spPr>
    </xdr:pic>
    <xdr:clientData/>
  </xdr:twoCellAnchor>
  <xdr:twoCellAnchor>
    <xdr:from>
      <xdr:col>5</xdr:col>
      <xdr:colOff>171450</xdr:colOff>
      <xdr:row>31</xdr:row>
      <xdr:rowOff>114300</xdr:rowOff>
    </xdr:from>
    <xdr:to>
      <xdr:col>33</xdr:col>
      <xdr:colOff>142875</xdr:colOff>
      <xdr:row>53</xdr:row>
      <xdr:rowOff>57150</xdr:rowOff>
    </xdr:to>
    <xdr:sp macro="" textlink="">
      <xdr:nvSpPr>
        <xdr:cNvPr id="22" name="四角形: 角を丸くする 21">
          <a:extLst>
            <a:ext uri="{FF2B5EF4-FFF2-40B4-BE49-F238E27FC236}">
              <a16:creationId xmlns:a16="http://schemas.microsoft.com/office/drawing/2014/main" id="{5196CF55-A040-42BD-BBD5-413440A3CDF4}"/>
            </a:ext>
          </a:extLst>
        </xdr:cNvPr>
        <xdr:cNvSpPr/>
      </xdr:nvSpPr>
      <xdr:spPr>
        <a:xfrm>
          <a:off x="1552575" y="4229100"/>
          <a:ext cx="7705725" cy="3086100"/>
        </a:xfrm>
        <a:prstGeom prst="roundRect">
          <a:avLst>
            <a:gd name="adj" fmla="val 4369"/>
          </a:avLst>
        </a:prstGeom>
        <a:solidFill>
          <a:srgbClr val="FFFFCC"/>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kumimoji="1" lang="ja-JP" altLang="en-US" sz="1400"/>
            <a:t>ジョブネット</a:t>
          </a:r>
        </a:p>
      </xdr:txBody>
    </xdr:sp>
    <xdr:clientData/>
  </xdr:twoCellAnchor>
  <xdr:twoCellAnchor>
    <xdr:from>
      <xdr:col>0</xdr:col>
      <xdr:colOff>230734</xdr:colOff>
      <xdr:row>37</xdr:row>
      <xdr:rowOff>95250</xdr:rowOff>
    </xdr:from>
    <xdr:to>
      <xdr:col>5</xdr:col>
      <xdr:colOff>230491</xdr:colOff>
      <xdr:row>44</xdr:row>
      <xdr:rowOff>28575</xdr:rowOff>
    </xdr:to>
    <xdr:grpSp>
      <xdr:nvGrpSpPr>
        <xdr:cNvPr id="21" name="グループ化 20">
          <a:extLst>
            <a:ext uri="{FF2B5EF4-FFF2-40B4-BE49-F238E27FC236}">
              <a16:creationId xmlns:a16="http://schemas.microsoft.com/office/drawing/2014/main" id="{E3F8109F-2464-4354-8EFF-54BF37025030}"/>
            </a:ext>
          </a:extLst>
        </xdr:cNvPr>
        <xdr:cNvGrpSpPr/>
      </xdr:nvGrpSpPr>
      <xdr:grpSpPr>
        <a:xfrm>
          <a:off x="230734" y="5495925"/>
          <a:ext cx="1380882" cy="933450"/>
          <a:chOff x="406267" y="4114800"/>
          <a:chExt cx="1381125" cy="933450"/>
        </a:xfrm>
      </xdr:grpSpPr>
      <xdr:pic>
        <xdr:nvPicPr>
          <xdr:cNvPr id="19" name="グラフィックス 18" descr="コンピューター 単色塗りつぶし">
            <a:extLst>
              <a:ext uri="{FF2B5EF4-FFF2-40B4-BE49-F238E27FC236}">
                <a16:creationId xmlns:a16="http://schemas.microsoft.com/office/drawing/2014/main" id="{AA1A03D3-13F7-44EE-BFDE-80A75DB249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752475" y="4114800"/>
            <a:ext cx="714375" cy="714375"/>
          </a:xfrm>
          <a:prstGeom prst="rect">
            <a:avLst/>
          </a:prstGeom>
        </xdr:spPr>
      </xdr:pic>
      <xdr:sp macro="" textlink="">
        <xdr:nvSpPr>
          <xdr:cNvPr id="20" name="テキスト ボックス 19">
            <a:extLst>
              <a:ext uri="{FF2B5EF4-FFF2-40B4-BE49-F238E27FC236}">
                <a16:creationId xmlns:a16="http://schemas.microsoft.com/office/drawing/2014/main" id="{998CF971-D1AD-470F-BD6B-FB1FF32D108D}"/>
              </a:ext>
            </a:extLst>
          </xdr:cNvPr>
          <xdr:cNvSpPr txBox="1"/>
        </xdr:nvSpPr>
        <xdr:spPr>
          <a:xfrm>
            <a:off x="406267" y="4762500"/>
            <a:ext cx="1381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ジョブスケジューラ</a:t>
            </a:r>
          </a:p>
        </xdr:txBody>
      </xdr:sp>
    </xdr:grpSp>
    <xdr:clientData/>
  </xdr:twoCellAnchor>
  <xdr:twoCellAnchor>
    <xdr:from>
      <xdr:col>5</xdr:col>
      <xdr:colOff>76200</xdr:colOff>
      <xdr:row>40</xdr:row>
      <xdr:rowOff>38100</xdr:rowOff>
    </xdr:from>
    <xdr:to>
      <xdr:col>7</xdr:col>
      <xdr:colOff>45727</xdr:colOff>
      <xdr:row>40</xdr:row>
      <xdr:rowOff>38100</xdr:rowOff>
    </xdr:to>
    <xdr:cxnSp macro="">
      <xdr:nvCxnSpPr>
        <xdr:cNvPr id="24" name="直線矢印コネクタ 23">
          <a:extLst>
            <a:ext uri="{FF2B5EF4-FFF2-40B4-BE49-F238E27FC236}">
              <a16:creationId xmlns:a16="http://schemas.microsoft.com/office/drawing/2014/main" id="{F319D0DC-DEAB-4CD5-80D2-1ED388FFB1B8}"/>
            </a:ext>
          </a:extLst>
        </xdr:cNvPr>
        <xdr:cNvCxnSpPr/>
      </xdr:nvCxnSpPr>
      <xdr:spPr>
        <a:xfrm>
          <a:off x="1457325" y="5438775"/>
          <a:ext cx="521977"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53066</xdr:colOff>
      <xdr:row>37</xdr:row>
      <xdr:rowOff>38099</xdr:rowOff>
    </xdr:from>
    <xdr:to>
      <xdr:col>11</xdr:col>
      <xdr:colOff>190499</xdr:colOff>
      <xdr:row>43</xdr:row>
      <xdr:rowOff>47625</xdr:rowOff>
    </xdr:to>
    <xdr:grpSp>
      <xdr:nvGrpSpPr>
        <xdr:cNvPr id="2" name="グループ化 1">
          <a:extLst>
            <a:ext uri="{FF2B5EF4-FFF2-40B4-BE49-F238E27FC236}">
              <a16:creationId xmlns:a16="http://schemas.microsoft.com/office/drawing/2014/main" id="{6756D96E-9FD3-418B-A5EE-688911AD4DF1}"/>
            </a:ext>
          </a:extLst>
        </xdr:cNvPr>
        <xdr:cNvGrpSpPr/>
      </xdr:nvGrpSpPr>
      <xdr:grpSpPr>
        <a:xfrm>
          <a:off x="1986641" y="5438774"/>
          <a:ext cx="1242333" cy="866776"/>
          <a:chOff x="1834241" y="4724399"/>
          <a:chExt cx="1242333" cy="866776"/>
        </a:xfrm>
      </xdr:grpSpPr>
      <xdr:sp macro="" textlink="">
        <xdr:nvSpPr>
          <xdr:cNvPr id="193" name="四角形: 角を丸くする 192">
            <a:extLst>
              <a:ext uri="{FF2B5EF4-FFF2-40B4-BE49-F238E27FC236}">
                <a16:creationId xmlns:a16="http://schemas.microsoft.com/office/drawing/2014/main" id="{B737317A-F6AE-4AD1-9A6B-A22E39F1171C}"/>
              </a:ext>
            </a:extLst>
          </xdr:cNvPr>
          <xdr:cNvSpPr/>
        </xdr:nvSpPr>
        <xdr:spPr>
          <a:xfrm>
            <a:off x="1834241" y="4724399"/>
            <a:ext cx="1242333" cy="8667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1</a:t>
            </a:r>
            <a:endParaRPr kumimoji="1" lang="ja-JP" altLang="en-US" sz="1100"/>
          </a:p>
        </xdr:txBody>
      </xdr:sp>
      <xdr:sp macro="" textlink="">
        <xdr:nvSpPr>
          <xdr:cNvPr id="197" name="正方形/長方形 196">
            <a:extLst>
              <a:ext uri="{FF2B5EF4-FFF2-40B4-BE49-F238E27FC236}">
                <a16:creationId xmlns:a16="http://schemas.microsoft.com/office/drawing/2014/main" id="{7E6BF3D9-4261-4183-B209-BA89FF898080}"/>
              </a:ext>
            </a:extLst>
          </xdr:cNvPr>
          <xdr:cNvSpPr/>
        </xdr:nvSpPr>
        <xdr:spPr>
          <a:xfrm>
            <a:off x="2005458" y="5116286"/>
            <a:ext cx="918718"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1</a:t>
            </a:r>
            <a:endParaRPr kumimoji="1" lang="ja-JP" altLang="en-US" sz="900"/>
          </a:p>
        </xdr:txBody>
      </xdr:sp>
    </xdr:grpSp>
    <xdr:clientData/>
  </xdr:twoCellAnchor>
  <xdr:twoCellAnchor>
    <xdr:from>
      <xdr:col>26</xdr:col>
      <xdr:colOff>18939</xdr:colOff>
      <xdr:row>40</xdr:row>
      <xdr:rowOff>38100</xdr:rowOff>
    </xdr:from>
    <xdr:to>
      <xdr:col>28</xdr:col>
      <xdr:colOff>142875</xdr:colOff>
      <xdr:row>40</xdr:row>
      <xdr:rowOff>38100</xdr:rowOff>
    </xdr:to>
    <xdr:cxnSp macro="">
      <xdr:nvCxnSpPr>
        <xdr:cNvPr id="212" name="直線矢印コネクタ 211">
          <a:extLst>
            <a:ext uri="{FF2B5EF4-FFF2-40B4-BE49-F238E27FC236}">
              <a16:creationId xmlns:a16="http://schemas.microsoft.com/office/drawing/2014/main" id="{7B0B095E-D2C3-4214-AD52-EA0F422D6004}"/>
            </a:ext>
          </a:extLst>
        </xdr:cNvPr>
        <xdr:cNvCxnSpPr/>
      </xdr:nvCxnSpPr>
      <xdr:spPr>
        <a:xfrm>
          <a:off x="7200789" y="5438775"/>
          <a:ext cx="676386"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25</xdr:col>
      <xdr:colOff>17878</xdr:colOff>
      <xdr:row>38</xdr:row>
      <xdr:rowOff>123826</xdr:rowOff>
    </xdr:from>
    <xdr:to>
      <xdr:col>25</xdr:col>
      <xdr:colOff>265202</xdr:colOff>
      <xdr:row>41</xdr:row>
      <xdr:rowOff>95251</xdr:rowOff>
    </xdr:to>
    <xdr:sp macro="" textlink="">
      <xdr:nvSpPr>
        <xdr:cNvPr id="1064" name="ひし形 1063">
          <a:extLst>
            <a:ext uri="{FF2B5EF4-FFF2-40B4-BE49-F238E27FC236}">
              <a16:creationId xmlns:a16="http://schemas.microsoft.com/office/drawing/2014/main" id="{1043F000-84B7-4495-9B79-2B38037AFB15}"/>
            </a:ext>
          </a:extLst>
        </xdr:cNvPr>
        <xdr:cNvSpPr/>
      </xdr:nvSpPr>
      <xdr:spPr>
        <a:xfrm>
          <a:off x="6923503" y="5238751"/>
          <a:ext cx="247324" cy="40005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25</xdr:col>
      <xdr:colOff>141540</xdr:colOff>
      <xdr:row>41</xdr:row>
      <xdr:rowOff>95251</xdr:rowOff>
    </xdr:from>
    <xdr:to>
      <xdr:col>26</xdr:col>
      <xdr:colOff>195941</xdr:colOff>
      <xdr:row>48</xdr:row>
      <xdr:rowOff>119062</xdr:rowOff>
    </xdr:to>
    <xdr:cxnSp macro="">
      <xdr:nvCxnSpPr>
        <xdr:cNvPr id="1066" name="コネクタ: カギ線 1065">
          <a:extLst>
            <a:ext uri="{FF2B5EF4-FFF2-40B4-BE49-F238E27FC236}">
              <a16:creationId xmlns:a16="http://schemas.microsoft.com/office/drawing/2014/main" id="{05923F03-6D26-4C1D-AB5F-423D34789977}"/>
            </a:ext>
          </a:extLst>
        </xdr:cNvPr>
        <xdr:cNvCxnSpPr>
          <a:stCxn id="1064" idx="2"/>
          <a:endCxn id="50" idx="1"/>
        </xdr:cNvCxnSpPr>
      </xdr:nvCxnSpPr>
      <xdr:spPr>
        <a:xfrm rot="16200000" flipH="1">
          <a:off x="6700510" y="5985456"/>
          <a:ext cx="1023936" cy="330626"/>
        </a:xfrm>
        <a:prstGeom prst="bentConnector2">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245064</xdr:colOff>
      <xdr:row>40</xdr:row>
      <xdr:rowOff>38100</xdr:rowOff>
    </xdr:from>
    <xdr:to>
      <xdr:col>13</xdr:col>
      <xdr:colOff>45727</xdr:colOff>
      <xdr:row>40</xdr:row>
      <xdr:rowOff>38100</xdr:rowOff>
    </xdr:to>
    <xdr:cxnSp macro="">
      <xdr:nvCxnSpPr>
        <xdr:cNvPr id="65" name="直線矢印コネクタ 64">
          <a:extLst>
            <a:ext uri="{FF2B5EF4-FFF2-40B4-BE49-F238E27FC236}">
              <a16:creationId xmlns:a16="http://schemas.microsoft.com/office/drawing/2014/main" id="{0AA4F7FF-397B-4E93-A5E0-5F175163CC45}"/>
            </a:ext>
          </a:extLst>
        </xdr:cNvPr>
        <xdr:cNvCxnSpPr/>
      </xdr:nvCxnSpPr>
      <xdr:spPr>
        <a:xfrm>
          <a:off x="3283539" y="5438775"/>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17</xdr:col>
      <xdr:colOff>254589</xdr:colOff>
      <xdr:row>40</xdr:row>
      <xdr:rowOff>38100</xdr:rowOff>
    </xdr:from>
    <xdr:to>
      <xdr:col>19</xdr:col>
      <xdr:colOff>55252</xdr:colOff>
      <xdr:row>40</xdr:row>
      <xdr:rowOff>38100</xdr:rowOff>
    </xdr:to>
    <xdr:cxnSp macro="">
      <xdr:nvCxnSpPr>
        <xdr:cNvPr id="66" name="直線矢印コネクタ 65">
          <a:extLst>
            <a:ext uri="{FF2B5EF4-FFF2-40B4-BE49-F238E27FC236}">
              <a16:creationId xmlns:a16="http://schemas.microsoft.com/office/drawing/2014/main" id="{B8429C03-4DCF-4417-91B4-CE333FBB65C9}"/>
            </a:ext>
          </a:extLst>
        </xdr:cNvPr>
        <xdr:cNvCxnSpPr/>
      </xdr:nvCxnSpPr>
      <xdr:spPr>
        <a:xfrm>
          <a:off x="4950414" y="5438775"/>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216489</xdr:colOff>
      <xdr:row>40</xdr:row>
      <xdr:rowOff>38100</xdr:rowOff>
    </xdr:from>
    <xdr:to>
      <xdr:col>25</xdr:col>
      <xdr:colOff>17152</xdr:colOff>
      <xdr:row>40</xdr:row>
      <xdr:rowOff>38100</xdr:rowOff>
    </xdr:to>
    <xdr:cxnSp macro="">
      <xdr:nvCxnSpPr>
        <xdr:cNvPr id="67" name="直線矢印コネクタ 66">
          <a:extLst>
            <a:ext uri="{FF2B5EF4-FFF2-40B4-BE49-F238E27FC236}">
              <a16:creationId xmlns:a16="http://schemas.microsoft.com/office/drawing/2014/main" id="{CE464C86-1696-42A0-817B-C4B7A96D0F90}"/>
            </a:ext>
          </a:extLst>
        </xdr:cNvPr>
        <xdr:cNvCxnSpPr/>
      </xdr:nvCxnSpPr>
      <xdr:spPr>
        <a:xfrm>
          <a:off x="6569664" y="5438775"/>
          <a:ext cx="353113" cy="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13</xdr:col>
      <xdr:colOff>81641</xdr:colOff>
      <xdr:row>37</xdr:row>
      <xdr:rowOff>38099</xdr:rowOff>
    </xdr:from>
    <xdr:to>
      <xdr:col>17</xdr:col>
      <xdr:colOff>219074</xdr:colOff>
      <xdr:row>43</xdr:row>
      <xdr:rowOff>47625</xdr:rowOff>
    </xdr:to>
    <xdr:grpSp>
      <xdr:nvGrpSpPr>
        <xdr:cNvPr id="23" name="グループ化 22">
          <a:extLst>
            <a:ext uri="{FF2B5EF4-FFF2-40B4-BE49-F238E27FC236}">
              <a16:creationId xmlns:a16="http://schemas.microsoft.com/office/drawing/2014/main" id="{C5E504E7-EEDC-BB1E-8B8B-5936D6594818}"/>
            </a:ext>
          </a:extLst>
        </xdr:cNvPr>
        <xdr:cNvGrpSpPr/>
      </xdr:nvGrpSpPr>
      <xdr:grpSpPr>
        <a:xfrm>
          <a:off x="3672566" y="5438774"/>
          <a:ext cx="1242333" cy="866776"/>
          <a:chOff x="1834241" y="4724399"/>
          <a:chExt cx="1242333" cy="866776"/>
        </a:xfrm>
      </xdr:grpSpPr>
      <xdr:sp macro="" textlink="">
        <xdr:nvSpPr>
          <xdr:cNvPr id="25" name="四角形: 角を丸くする 24">
            <a:extLst>
              <a:ext uri="{FF2B5EF4-FFF2-40B4-BE49-F238E27FC236}">
                <a16:creationId xmlns:a16="http://schemas.microsoft.com/office/drawing/2014/main" id="{9FD60D61-2DE1-87F5-EAD6-C5F90FE164AB}"/>
              </a:ext>
            </a:extLst>
          </xdr:cNvPr>
          <xdr:cNvSpPr/>
        </xdr:nvSpPr>
        <xdr:spPr>
          <a:xfrm>
            <a:off x="1834241" y="4724399"/>
            <a:ext cx="1242333" cy="8667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2</a:t>
            </a:r>
            <a:endParaRPr kumimoji="1" lang="ja-JP" altLang="en-US" sz="1100"/>
          </a:p>
        </xdr:txBody>
      </xdr:sp>
      <xdr:sp macro="" textlink="">
        <xdr:nvSpPr>
          <xdr:cNvPr id="26" name="正方形/長方形 25">
            <a:extLst>
              <a:ext uri="{FF2B5EF4-FFF2-40B4-BE49-F238E27FC236}">
                <a16:creationId xmlns:a16="http://schemas.microsoft.com/office/drawing/2014/main" id="{1CF77C53-4987-DE77-154E-7CA816006903}"/>
              </a:ext>
            </a:extLst>
          </xdr:cNvPr>
          <xdr:cNvSpPr/>
        </xdr:nvSpPr>
        <xdr:spPr>
          <a:xfrm>
            <a:off x="2005458" y="5116286"/>
            <a:ext cx="918718"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2</a:t>
            </a:r>
            <a:endParaRPr kumimoji="1" lang="ja-JP" altLang="en-US" sz="900"/>
          </a:p>
        </xdr:txBody>
      </xdr:sp>
    </xdr:grpSp>
    <xdr:clientData/>
  </xdr:twoCellAnchor>
  <xdr:twoCellAnchor>
    <xdr:from>
      <xdr:col>19</xdr:col>
      <xdr:colOff>53066</xdr:colOff>
      <xdr:row>37</xdr:row>
      <xdr:rowOff>38099</xdr:rowOff>
    </xdr:from>
    <xdr:to>
      <xdr:col>23</xdr:col>
      <xdr:colOff>190499</xdr:colOff>
      <xdr:row>43</xdr:row>
      <xdr:rowOff>47625</xdr:rowOff>
    </xdr:to>
    <xdr:grpSp>
      <xdr:nvGrpSpPr>
        <xdr:cNvPr id="27" name="グループ化 26">
          <a:extLst>
            <a:ext uri="{FF2B5EF4-FFF2-40B4-BE49-F238E27FC236}">
              <a16:creationId xmlns:a16="http://schemas.microsoft.com/office/drawing/2014/main" id="{24D57B8E-5739-ADC7-5F0D-27023DD180E5}"/>
            </a:ext>
          </a:extLst>
        </xdr:cNvPr>
        <xdr:cNvGrpSpPr/>
      </xdr:nvGrpSpPr>
      <xdr:grpSpPr>
        <a:xfrm>
          <a:off x="5301341" y="5438774"/>
          <a:ext cx="1242333" cy="866776"/>
          <a:chOff x="1834241" y="4724399"/>
          <a:chExt cx="1242333" cy="866776"/>
        </a:xfrm>
      </xdr:grpSpPr>
      <xdr:sp macro="" textlink="">
        <xdr:nvSpPr>
          <xdr:cNvPr id="28" name="四角形: 角を丸くする 27">
            <a:extLst>
              <a:ext uri="{FF2B5EF4-FFF2-40B4-BE49-F238E27FC236}">
                <a16:creationId xmlns:a16="http://schemas.microsoft.com/office/drawing/2014/main" id="{38F214C7-CF7A-1BFE-6EF6-289BDA28B2F1}"/>
              </a:ext>
            </a:extLst>
          </xdr:cNvPr>
          <xdr:cNvSpPr/>
        </xdr:nvSpPr>
        <xdr:spPr>
          <a:xfrm>
            <a:off x="1834241" y="4724399"/>
            <a:ext cx="1242333" cy="8667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3</a:t>
            </a:r>
            <a:endParaRPr kumimoji="1" lang="ja-JP" altLang="en-US" sz="1100"/>
          </a:p>
        </xdr:txBody>
      </xdr:sp>
      <xdr:sp macro="" textlink="">
        <xdr:nvSpPr>
          <xdr:cNvPr id="29" name="正方形/長方形 28">
            <a:extLst>
              <a:ext uri="{FF2B5EF4-FFF2-40B4-BE49-F238E27FC236}">
                <a16:creationId xmlns:a16="http://schemas.microsoft.com/office/drawing/2014/main" id="{39F75796-4009-A8DA-60DC-3FFB09875656}"/>
              </a:ext>
            </a:extLst>
          </xdr:cNvPr>
          <xdr:cNvSpPr/>
        </xdr:nvSpPr>
        <xdr:spPr>
          <a:xfrm>
            <a:off x="2005458" y="5116286"/>
            <a:ext cx="918718"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3</a:t>
            </a:r>
            <a:endParaRPr kumimoji="1" lang="ja-JP" altLang="en-US" sz="900"/>
          </a:p>
        </xdr:txBody>
      </xdr:sp>
    </xdr:grpSp>
    <xdr:clientData/>
  </xdr:twoCellAnchor>
  <xdr:twoCellAnchor>
    <xdr:from>
      <xdr:col>28</xdr:col>
      <xdr:colOff>186416</xdr:colOff>
      <xdr:row>37</xdr:row>
      <xdr:rowOff>38099</xdr:rowOff>
    </xdr:from>
    <xdr:to>
      <xdr:col>33</xdr:col>
      <xdr:colOff>47624</xdr:colOff>
      <xdr:row>43</xdr:row>
      <xdr:rowOff>47625</xdr:rowOff>
    </xdr:to>
    <xdr:grpSp>
      <xdr:nvGrpSpPr>
        <xdr:cNvPr id="30" name="グループ化 29">
          <a:extLst>
            <a:ext uri="{FF2B5EF4-FFF2-40B4-BE49-F238E27FC236}">
              <a16:creationId xmlns:a16="http://schemas.microsoft.com/office/drawing/2014/main" id="{96FB0DC7-5BDA-64D6-5C5C-576462D6416E}"/>
            </a:ext>
          </a:extLst>
        </xdr:cNvPr>
        <xdr:cNvGrpSpPr/>
      </xdr:nvGrpSpPr>
      <xdr:grpSpPr>
        <a:xfrm>
          <a:off x="7920716" y="5438774"/>
          <a:ext cx="1242333" cy="866776"/>
          <a:chOff x="1834241" y="4724399"/>
          <a:chExt cx="1242333" cy="866776"/>
        </a:xfrm>
      </xdr:grpSpPr>
      <xdr:sp macro="" textlink="">
        <xdr:nvSpPr>
          <xdr:cNvPr id="31" name="四角形: 角を丸くする 30">
            <a:extLst>
              <a:ext uri="{FF2B5EF4-FFF2-40B4-BE49-F238E27FC236}">
                <a16:creationId xmlns:a16="http://schemas.microsoft.com/office/drawing/2014/main" id="{37A41384-2F5B-C8FA-162A-F0DEC2782C6B}"/>
              </a:ext>
            </a:extLst>
          </xdr:cNvPr>
          <xdr:cNvSpPr/>
        </xdr:nvSpPr>
        <xdr:spPr>
          <a:xfrm>
            <a:off x="1834241" y="4724399"/>
            <a:ext cx="1242333" cy="8667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4-1</a:t>
            </a:r>
            <a:endParaRPr kumimoji="1" lang="ja-JP" altLang="en-US" sz="1100"/>
          </a:p>
        </xdr:txBody>
      </xdr:sp>
      <xdr:sp macro="" textlink="">
        <xdr:nvSpPr>
          <xdr:cNvPr id="32" name="正方形/長方形 31">
            <a:extLst>
              <a:ext uri="{FF2B5EF4-FFF2-40B4-BE49-F238E27FC236}">
                <a16:creationId xmlns:a16="http://schemas.microsoft.com/office/drawing/2014/main" id="{F73C0295-8343-4D4B-7ED3-E75561D25568}"/>
              </a:ext>
            </a:extLst>
          </xdr:cNvPr>
          <xdr:cNvSpPr/>
        </xdr:nvSpPr>
        <xdr:spPr>
          <a:xfrm>
            <a:off x="2005458" y="5116286"/>
            <a:ext cx="918718"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4-1</a:t>
            </a:r>
            <a:endParaRPr kumimoji="1" lang="ja-JP" altLang="en-US" sz="900"/>
          </a:p>
        </xdr:txBody>
      </xdr:sp>
    </xdr:grpSp>
    <xdr:clientData/>
  </xdr:twoCellAnchor>
  <xdr:twoCellAnchor>
    <xdr:from>
      <xdr:col>26</xdr:col>
      <xdr:colOff>253091</xdr:colOff>
      <xdr:row>45</xdr:row>
      <xdr:rowOff>85724</xdr:rowOff>
    </xdr:from>
    <xdr:to>
      <xdr:col>31</xdr:col>
      <xdr:colOff>114299</xdr:colOff>
      <xdr:row>51</xdr:row>
      <xdr:rowOff>95250</xdr:rowOff>
    </xdr:to>
    <xdr:grpSp>
      <xdr:nvGrpSpPr>
        <xdr:cNvPr id="33" name="グループ化 32">
          <a:extLst>
            <a:ext uri="{FF2B5EF4-FFF2-40B4-BE49-F238E27FC236}">
              <a16:creationId xmlns:a16="http://schemas.microsoft.com/office/drawing/2014/main" id="{434522AC-7764-5679-C123-770C3FD7995A}"/>
            </a:ext>
          </a:extLst>
        </xdr:cNvPr>
        <xdr:cNvGrpSpPr/>
      </xdr:nvGrpSpPr>
      <xdr:grpSpPr>
        <a:xfrm>
          <a:off x="7434941" y="6629399"/>
          <a:ext cx="1242333" cy="866776"/>
          <a:chOff x="1834241" y="4724399"/>
          <a:chExt cx="1242333" cy="866776"/>
        </a:xfrm>
      </xdr:grpSpPr>
      <xdr:sp macro="" textlink="">
        <xdr:nvSpPr>
          <xdr:cNvPr id="34" name="四角形: 角を丸くする 33">
            <a:extLst>
              <a:ext uri="{FF2B5EF4-FFF2-40B4-BE49-F238E27FC236}">
                <a16:creationId xmlns:a16="http://schemas.microsoft.com/office/drawing/2014/main" id="{27774F11-7B14-50D4-BE5F-2CA2CF819500}"/>
              </a:ext>
            </a:extLst>
          </xdr:cNvPr>
          <xdr:cNvSpPr/>
        </xdr:nvSpPr>
        <xdr:spPr>
          <a:xfrm>
            <a:off x="1834241" y="4724399"/>
            <a:ext cx="1242333" cy="866776"/>
          </a:xfrm>
          <a:prstGeom prst="roundRect">
            <a:avLst>
              <a:gd name="adj" fmla="val 6371"/>
            </a:avLst>
          </a:prstGeom>
          <a:solidFill>
            <a:schemeClr val="accent6">
              <a:lumMod val="60000"/>
              <a:lumOff val="40000"/>
            </a:schemeClr>
          </a:solidFill>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ジョブ</a:t>
            </a:r>
            <a:r>
              <a:rPr kumimoji="1" lang="en-US" altLang="ja-JP" sz="1100"/>
              <a:t>4-2</a:t>
            </a:r>
            <a:endParaRPr kumimoji="1" lang="ja-JP" altLang="en-US" sz="1100"/>
          </a:p>
        </xdr:txBody>
      </xdr:sp>
      <xdr:sp macro="" textlink="">
        <xdr:nvSpPr>
          <xdr:cNvPr id="35" name="正方形/長方形 34">
            <a:extLst>
              <a:ext uri="{FF2B5EF4-FFF2-40B4-BE49-F238E27FC236}">
                <a16:creationId xmlns:a16="http://schemas.microsoft.com/office/drawing/2014/main" id="{06AE58D8-5999-58AC-CAD6-9F21207C8E4C}"/>
              </a:ext>
            </a:extLst>
          </xdr:cNvPr>
          <xdr:cNvSpPr/>
        </xdr:nvSpPr>
        <xdr:spPr>
          <a:xfrm>
            <a:off x="2005458" y="5116286"/>
            <a:ext cx="918718" cy="308882"/>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プログラム</a:t>
            </a:r>
            <a:r>
              <a:rPr kumimoji="1" lang="en-US" altLang="ja-JP" sz="900"/>
              <a:t>4-2</a:t>
            </a:r>
            <a:endParaRPr kumimoji="1" lang="ja-JP" altLang="en-US" sz="900"/>
          </a:p>
        </xdr:txBody>
      </xdr:sp>
    </xdr:grpSp>
    <xdr:clientData/>
  </xdr:twoCellAnchor>
  <xdr:twoCellAnchor>
    <xdr:from>
      <xdr:col>4</xdr:col>
      <xdr:colOff>123824</xdr:colOff>
      <xdr:row>89</xdr:row>
      <xdr:rowOff>114299</xdr:rowOff>
    </xdr:from>
    <xdr:to>
      <xdr:col>10</xdr:col>
      <xdr:colOff>114299</xdr:colOff>
      <xdr:row>93</xdr:row>
      <xdr:rowOff>114300</xdr:rowOff>
    </xdr:to>
    <xdr:sp macro="" textlink="">
      <xdr:nvSpPr>
        <xdr:cNvPr id="39" name="四角形: 角を丸くする 38">
          <a:extLst>
            <a:ext uri="{FF2B5EF4-FFF2-40B4-BE49-F238E27FC236}">
              <a16:creationId xmlns:a16="http://schemas.microsoft.com/office/drawing/2014/main" id="{22A03FAF-BFD4-85D7-FF31-EA73CEC89174}"/>
            </a:ext>
          </a:extLst>
        </xdr:cNvPr>
        <xdr:cNvSpPr/>
      </xdr:nvSpPr>
      <xdr:spPr>
        <a:xfrm>
          <a:off x="1228724" y="12944474"/>
          <a:ext cx="1647825" cy="571501"/>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②重複起動防止用</a:t>
          </a:r>
          <a:r>
            <a:rPr kumimoji="1" lang="en-US" altLang="ja-JP" sz="1100"/>
            <a:t>Lambda</a:t>
          </a:r>
          <a:r>
            <a:rPr kumimoji="1" lang="ja-JP" altLang="en-US" sz="1100"/>
            <a:t>を起動する</a:t>
          </a:r>
        </a:p>
      </xdr:txBody>
    </xdr:sp>
    <xdr:clientData/>
  </xdr:twoCellAnchor>
  <xdr:twoCellAnchor>
    <xdr:from>
      <xdr:col>11</xdr:col>
      <xdr:colOff>57150</xdr:colOff>
      <xdr:row>93</xdr:row>
      <xdr:rowOff>9525</xdr:rowOff>
    </xdr:from>
    <xdr:to>
      <xdr:col>17</xdr:col>
      <xdr:colOff>209550</xdr:colOff>
      <xdr:row>98</xdr:row>
      <xdr:rowOff>95249</xdr:rowOff>
    </xdr:to>
    <xdr:sp macro="" textlink="">
      <xdr:nvSpPr>
        <xdr:cNvPr id="40" name="四角形: 角を丸くする 39">
          <a:extLst>
            <a:ext uri="{FF2B5EF4-FFF2-40B4-BE49-F238E27FC236}">
              <a16:creationId xmlns:a16="http://schemas.microsoft.com/office/drawing/2014/main" id="{E9AE8AF7-D5A0-1EE7-7EDC-3F20E4A7E728}"/>
            </a:ext>
          </a:extLst>
        </xdr:cNvPr>
        <xdr:cNvSpPr/>
      </xdr:nvSpPr>
      <xdr:spPr>
        <a:xfrm>
          <a:off x="3095625" y="13411200"/>
          <a:ext cx="1809750" cy="800099"/>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100">
              <a:solidFill>
                <a:schemeClr val="dk1"/>
              </a:solidFill>
              <a:latin typeface="+mn-lt"/>
              <a:ea typeface="+mn-ea"/>
              <a:cs typeface="+mn-cs"/>
            </a:rPr>
            <a:t>③</a:t>
          </a:r>
          <a:r>
            <a:rPr kumimoji="1" lang="en-US" altLang="ja-JP" sz="1100">
              <a:solidFill>
                <a:schemeClr val="dk1"/>
              </a:solidFill>
              <a:latin typeface="+mn-lt"/>
              <a:ea typeface="+mn-ea"/>
              <a:cs typeface="+mn-cs"/>
            </a:rPr>
            <a:t>Step Functions</a:t>
          </a:r>
          <a:r>
            <a:rPr kumimoji="1" lang="ja-JP" altLang="en-US" sz="1100">
              <a:solidFill>
                <a:schemeClr val="dk1"/>
              </a:solidFill>
              <a:latin typeface="+mn-lt"/>
              <a:ea typeface="+mn-ea"/>
              <a:cs typeface="+mn-cs"/>
            </a:rPr>
            <a:t>の</a:t>
          </a:r>
          <a:endParaRPr kumimoji="1" lang="en-US" altLang="ja-JP" sz="1100">
            <a:solidFill>
              <a:schemeClr val="dk1"/>
            </a:solidFill>
            <a:latin typeface="+mn-lt"/>
            <a:ea typeface="+mn-ea"/>
            <a:cs typeface="+mn-cs"/>
          </a:endParaRPr>
        </a:p>
        <a:p>
          <a:pPr marL="0" indent="0" algn="ctr"/>
          <a:r>
            <a:rPr kumimoji="1" lang="ja-JP" altLang="en-US" sz="1100">
              <a:solidFill>
                <a:schemeClr val="dk1"/>
              </a:solidFill>
              <a:latin typeface="+mn-lt"/>
              <a:ea typeface="+mn-ea"/>
              <a:cs typeface="+mn-cs"/>
            </a:rPr>
            <a:t>ステートマシンを</a:t>
          </a:r>
          <a:endParaRPr kumimoji="1" lang="en-US" altLang="ja-JP" sz="1100">
            <a:solidFill>
              <a:schemeClr val="dk1"/>
            </a:solidFill>
            <a:latin typeface="+mn-lt"/>
            <a:ea typeface="+mn-ea"/>
            <a:cs typeface="+mn-cs"/>
          </a:endParaRPr>
        </a:p>
        <a:p>
          <a:pPr marL="0" indent="0" algn="ctr"/>
          <a:r>
            <a:rPr kumimoji="1" lang="ja-JP" altLang="en-US" sz="1100">
              <a:solidFill>
                <a:schemeClr val="dk1"/>
              </a:solidFill>
              <a:latin typeface="+mn-lt"/>
              <a:ea typeface="+mn-ea"/>
              <a:cs typeface="+mn-cs"/>
            </a:rPr>
            <a:t>起動する</a:t>
          </a:r>
        </a:p>
      </xdr:txBody>
    </xdr:sp>
    <xdr:clientData/>
  </xdr:twoCellAnchor>
  <xdr:twoCellAnchor>
    <xdr:from>
      <xdr:col>18</xdr:col>
      <xdr:colOff>247650</xdr:colOff>
      <xdr:row>106</xdr:row>
      <xdr:rowOff>114300</xdr:rowOff>
    </xdr:from>
    <xdr:to>
      <xdr:col>25</xdr:col>
      <xdr:colOff>66675</xdr:colOff>
      <xdr:row>111</xdr:row>
      <xdr:rowOff>66674</xdr:rowOff>
    </xdr:to>
    <xdr:sp macro="" textlink="">
      <xdr:nvSpPr>
        <xdr:cNvPr id="41" name="四角形: 角を丸くする 40">
          <a:extLst>
            <a:ext uri="{FF2B5EF4-FFF2-40B4-BE49-F238E27FC236}">
              <a16:creationId xmlns:a16="http://schemas.microsoft.com/office/drawing/2014/main" id="{FE992B4F-5C04-B154-FDAB-E1D097E0A9F8}"/>
            </a:ext>
          </a:extLst>
        </xdr:cNvPr>
        <xdr:cNvSpPr/>
      </xdr:nvSpPr>
      <xdr:spPr>
        <a:xfrm>
          <a:off x="5219700" y="15373350"/>
          <a:ext cx="1752600" cy="666749"/>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100">
              <a:solidFill>
                <a:schemeClr val="dk1"/>
              </a:solidFill>
              <a:latin typeface="+mn-lt"/>
              <a:ea typeface="+mn-ea"/>
              <a:cs typeface="+mn-cs"/>
            </a:rPr>
            <a:t>④多重起動を</a:t>
          </a:r>
          <a:endParaRPr kumimoji="1" lang="en-US" altLang="ja-JP" sz="1100">
            <a:solidFill>
              <a:schemeClr val="dk1"/>
            </a:solidFill>
            <a:latin typeface="+mn-lt"/>
            <a:ea typeface="+mn-ea"/>
            <a:cs typeface="+mn-cs"/>
          </a:endParaRPr>
        </a:p>
        <a:p>
          <a:pPr marL="0" indent="0" algn="ctr"/>
          <a:r>
            <a:rPr kumimoji="1" lang="ja-JP" altLang="en-US" sz="1100">
              <a:solidFill>
                <a:schemeClr val="dk1"/>
              </a:solidFill>
              <a:latin typeface="+mn-lt"/>
              <a:ea typeface="+mn-ea"/>
              <a:cs typeface="+mn-cs"/>
            </a:rPr>
            <a:t>チェックする</a:t>
          </a:r>
        </a:p>
      </xdr:txBody>
    </xdr:sp>
    <xdr:clientData/>
  </xdr:twoCellAnchor>
  <xdr:twoCellAnchor>
    <xdr:from>
      <xdr:col>7</xdr:col>
      <xdr:colOff>119062</xdr:colOff>
      <xdr:row>88</xdr:row>
      <xdr:rowOff>9525</xdr:rowOff>
    </xdr:from>
    <xdr:to>
      <xdr:col>7</xdr:col>
      <xdr:colOff>119062</xdr:colOff>
      <xdr:row>89</xdr:row>
      <xdr:rowOff>114299</xdr:rowOff>
    </xdr:to>
    <xdr:cxnSp macro="">
      <xdr:nvCxnSpPr>
        <xdr:cNvPr id="64" name="直線矢印コネクタ 63">
          <a:extLst>
            <a:ext uri="{FF2B5EF4-FFF2-40B4-BE49-F238E27FC236}">
              <a16:creationId xmlns:a16="http://schemas.microsoft.com/office/drawing/2014/main" id="{7BC8089A-D6E3-D396-AE2E-038B573F0563}"/>
            </a:ext>
          </a:extLst>
        </xdr:cNvPr>
        <xdr:cNvCxnSpPr>
          <a:stCxn id="1073" idx="2"/>
          <a:endCxn id="39" idx="0"/>
        </xdr:cNvCxnSpPr>
      </xdr:nvCxnSpPr>
      <xdr:spPr>
        <a:xfrm>
          <a:off x="2052637" y="12696825"/>
          <a:ext cx="0" cy="24764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119063</xdr:colOff>
      <xdr:row>93</xdr:row>
      <xdr:rowOff>114299</xdr:rowOff>
    </xdr:from>
    <xdr:to>
      <xdr:col>11</xdr:col>
      <xdr:colOff>57151</xdr:colOff>
      <xdr:row>95</xdr:row>
      <xdr:rowOff>123824</xdr:rowOff>
    </xdr:to>
    <xdr:cxnSp macro="">
      <xdr:nvCxnSpPr>
        <xdr:cNvPr id="69" name="コネクタ: カギ線 68">
          <a:extLst>
            <a:ext uri="{FF2B5EF4-FFF2-40B4-BE49-F238E27FC236}">
              <a16:creationId xmlns:a16="http://schemas.microsoft.com/office/drawing/2014/main" id="{C1A6843F-7159-5A89-A5AB-36A5A00F1A21}"/>
            </a:ext>
          </a:extLst>
        </xdr:cNvPr>
        <xdr:cNvCxnSpPr>
          <a:stCxn id="39" idx="2"/>
          <a:endCxn id="40" idx="1"/>
        </xdr:cNvCxnSpPr>
      </xdr:nvCxnSpPr>
      <xdr:spPr>
        <a:xfrm rot="16200000" flipH="1">
          <a:off x="2426494" y="13142118"/>
          <a:ext cx="295275" cy="104298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133350</xdr:colOff>
      <xdr:row>98</xdr:row>
      <xdr:rowOff>95249</xdr:rowOff>
    </xdr:from>
    <xdr:to>
      <xdr:col>22</xdr:col>
      <xdr:colOff>19050</xdr:colOff>
      <xdr:row>100</xdr:row>
      <xdr:rowOff>123825</xdr:rowOff>
    </xdr:to>
    <xdr:cxnSp macro="">
      <xdr:nvCxnSpPr>
        <xdr:cNvPr id="76" name="コネクタ: カギ線 75">
          <a:extLst>
            <a:ext uri="{FF2B5EF4-FFF2-40B4-BE49-F238E27FC236}">
              <a16:creationId xmlns:a16="http://schemas.microsoft.com/office/drawing/2014/main" id="{BC04F9FB-BF32-F859-6172-5851B64F65F7}"/>
            </a:ext>
          </a:extLst>
        </xdr:cNvPr>
        <xdr:cNvCxnSpPr>
          <a:stCxn id="40" idx="2"/>
          <a:endCxn id="195" idx="0"/>
        </xdr:cNvCxnSpPr>
      </xdr:nvCxnSpPr>
      <xdr:spPr>
        <a:xfrm rot="16200000" flipH="1">
          <a:off x="4891087" y="13320712"/>
          <a:ext cx="314326" cy="20955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142875</xdr:colOff>
      <xdr:row>113</xdr:row>
      <xdr:rowOff>76200</xdr:rowOff>
    </xdr:from>
    <xdr:to>
      <xdr:col>22</xdr:col>
      <xdr:colOff>171450</xdr:colOff>
      <xdr:row>115</xdr:row>
      <xdr:rowOff>95250</xdr:rowOff>
    </xdr:to>
    <xdr:sp macro="" textlink="">
      <xdr:nvSpPr>
        <xdr:cNvPr id="81" name="ひし形 80">
          <a:extLst>
            <a:ext uri="{FF2B5EF4-FFF2-40B4-BE49-F238E27FC236}">
              <a16:creationId xmlns:a16="http://schemas.microsoft.com/office/drawing/2014/main" id="{C919B702-2864-AC1E-A712-4E8C1AC50D29}"/>
            </a:ext>
          </a:extLst>
        </xdr:cNvPr>
        <xdr:cNvSpPr/>
      </xdr:nvSpPr>
      <xdr:spPr>
        <a:xfrm>
          <a:off x="5943600" y="15763875"/>
          <a:ext cx="304800" cy="30480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19050</xdr:colOff>
      <xdr:row>111</xdr:row>
      <xdr:rowOff>66674</xdr:rowOff>
    </xdr:from>
    <xdr:to>
      <xdr:col>22</xdr:col>
      <xdr:colOff>19050</xdr:colOff>
      <xdr:row>113</xdr:row>
      <xdr:rowOff>76200</xdr:rowOff>
    </xdr:to>
    <xdr:cxnSp macro="">
      <xdr:nvCxnSpPr>
        <xdr:cNvPr id="82" name="直線矢印コネクタ 81">
          <a:extLst>
            <a:ext uri="{FF2B5EF4-FFF2-40B4-BE49-F238E27FC236}">
              <a16:creationId xmlns:a16="http://schemas.microsoft.com/office/drawing/2014/main" id="{D1ACDC38-85F7-AF9F-41ED-1975E0E94FEC}"/>
            </a:ext>
          </a:extLst>
        </xdr:cNvPr>
        <xdr:cNvCxnSpPr>
          <a:endCxn id="81" idx="0"/>
        </xdr:cNvCxnSpPr>
      </xdr:nvCxnSpPr>
      <xdr:spPr>
        <a:xfrm>
          <a:off x="6096000" y="15468599"/>
          <a:ext cx="0" cy="29527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161925</xdr:colOff>
      <xdr:row>116</xdr:row>
      <xdr:rowOff>123825</xdr:rowOff>
    </xdr:from>
    <xdr:to>
      <xdr:col>19</xdr:col>
      <xdr:colOff>180975</xdr:colOff>
      <xdr:row>118</xdr:row>
      <xdr:rowOff>133350</xdr:rowOff>
    </xdr:to>
    <xdr:sp macro="" textlink="">
      <xdr:nvSpPr>
        <xdr:cNvPr id="86" name="フローチャート: 和接合 85">
          <a:extLst>
            <a:ext uri="{FF2B5EF4-FFF2-40B4-BE49-F238E27FC236}">
              <a16:creationId xmlns:a16="http://schemas.microsoft.com/office/drawing/2014/main" id="{2E0B8722-69A8-1442-D1D4-AE89650A7593}"/>
            </a:ext>
          </a:extLst>
        </xdr:cNvPr>
        <xdr:cNvSpPr/>
      </xdr:nvSpPr>
      <xdr:spPr>
        <a:xfrm>
          <a:off x="5133975" y="16240125"/>
          <a:ext cx="295275" cy="295275"/>
        </a:xfrm>
        <a:prstGeom prst="flowChartSummingJunction">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19</xdr:col>
      <xdr:colOff>33339</xdr:colOff>
      <xdr:row>114</xdr:row>
      <xdr:rowOff>85725</xdr:rowOff>
    </xdr:from>
    <xdr:to>
      <xdr:col>21</xdr:col>
      <xdr:colOff>142876</xdr:colOff>
      <xdr:row>116</xdr:row>
      <xdr:rowOff>123825</xdr:rowOff>
    </xdr:to>
    <xdr:cxnSp macro="">
      <xdr:nvCxnSpPr>
        <xdr:cNvPr id="87" name="コネクタ: カギ線 86">
          <a:extLst>
            <a:ext uri="{FF2B5EF4-FFF2-40B4-BE49-F238E27FC236}">
              <a16:creationId xmlns:a16="http://schemas.microsoft.com/office/drawing/2014/main" id="{A88EDFD0-0BE2-9721-EF3A-F59F9EC57238}"/>
            </a:ext>
          </a:extLst>
        </xdr:cNvPr>
        <xdr:cNvCxnSpPr>
          <a:stCxn id="81" idx="1"/>
          <a:endCxn id="86" idx="0"/>
        </xdr:cNvCxnSpPr>
      </xdr:nvCxnSpPr>
      <xdr:spPr>
        <a:xfrm rot="10800000" flipV="1">
          <a:off x="5281614" y="15916275"/>
          <a:ext cx="661987" cy="32385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19050</xdr:colOff>
      <xdr:row>115</xdr:row>
      <xdr:rowOff>95250</xdr:rowOff>
    </xdr:from>
    <xdr:to>
      <xdr:col>22</xdr:col>
      <xdr:colOff>19050</xdr:colOff>
      <xdr:row>122</xdr:row>
      <xdr:rowOff>38099</xdr:rowOff>
    </xdr:to>
    <xdr:cxnSp macro="">
      <xdr:nvCxnSpPr>
        <xdr:cNvPr id="95" name="直線矢印コネクタ 94">
          <a:extLst>
            <a:ext uri="{FF2B5EF4-FFF2-40B4-BE49-F238E27FC236}">
              <a16:creationId xmlns:a16="http://schemas.microsoft.com/office/drawing/2014/main" id="{07B3F825-64CF-E407-2E10-2075DF2D0079}"/>
            </a:ext>
          </a:extLst>
        </xdr:cNvPr>
        <xdr:cNvCxnSpPr>
          <a:cxnSpLocks/>
          <a:stCxn id="81" idx="2"/>
          <a:endCxn id="101" idx="0"/>
        </xdr:cNvCxnSpPr>
      </xdr:nvCxnSpPr>
      <xdr:spPr>
        <a:xfrm>
          <a:off x="6096000" y="16640175"/>
          <a:ext cx="0" cy="9429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19050</xdr:colOff>
      <xdr:row>122</xdr:row>
      <xdr:rowOff>38099</xdr:rowOff>
    </xdr:from>
    <xdr:to>
      <xdr:col>25</xdr:col>
      <xdr:colOff>19050</xdr:colOff>
      <xdr:row>125</xdr:row>
      <xdr:rowOff>114299</xdr:rowOff>
    </xdr:to>
    <xdr:sp macro="" textlink="">
      <xdr:nvSpPr>
        <xdr:cNvPr id="101" name="四角形: 角を丸くする 100">
          <a:extLst>
            <a:ext uri="{FF2B5EF4-FFF2-40B4-BE49-F238E27FC236}">
              <a16:creationId xmlns:a16="http://schemas.microsoft.com/office/drawing/2014/main" id="{097AD773-C8E3-5FBD-1645-339B7560B3F2}"/>
            </a:ext>
          </a:extLst>
        </xdr:cNvPr>
        <xdr:cNvSpPr/>
      </xdr:nvSpPr>
      <xdr:spPr>
        <a:xfrm>
          <a:off x="5267325" y="17583149"/>
          <a:ext cx="1657350" cy="504825"/>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100">
              <a:solidFill>
                <a:schemeClr val="dk1"/>
              </a:solidFill>
              <a:latin typeface="+mn-lt"/>
              <a:ea typeface="+mn-ea"/>
              <a:cs typeface="+mn-cs"/>
            </a:rPr>
            <a:t>⑤ジョブの起動</a:t>
          </a:r>
        </a:p>
      </xdr:txBody>
    </xdr:sp>
    <xdr:clientData/>
  </xdr:twoCellAnchor>
  <xdr:twoCellAnchor>
    <xdr:from>
      <xdr:col>27</xdr:col>
      <xdr:colOff>19050</xdr:colOff>
      <xdr:row>127</xdr:row>
      <xdr:rowOff>104774</xdr:rowOff>
    </xdr:from>
    <xdr:to>
      <xdr:col>33</xdr:col>
      <xdr:colOff>19050</xdr:colOff>
      <xdr:row>131</xdr:row>
      <xdr:rowOff>38099</xdr:rowOff>
    </xdr:to>
    <xdr:sp macro="" textlink="">
      <xdr:nvSpPr>
        <xdr:cNvPr id="109" name="四角形: 角を丸くする 108">
          <a:extLst>
            <a:ext uri="{FF2B5EF4-FFF2-40B4-BE49-F238E27FC236}">
              <a16:creationId xmlns:a16="http://schemas.microsoft.com/office/drawing/2014/main" id="{0F1D6A6F-6F6F-7FC1-16F0-9F31C069F878}"/>
            </a:ext>
          </a:extLst>
        </xdr:cNvPr>
        <xdr:cNvSpPr/>
      </xdr:nvSpPr>
      <xdr:spPr>
        <a:xfrm>
          <a:off x="7477125" y="18364199"/>
          <a:ext cx="1657350" cy="504825"/>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100">
              <a:solidFill>
                <a:schemeClr val="dk1"/>
              </a:solidFill>
              <a:latin typeface="+mn-lt"/>
              <a:ea typeface="+mn-ea"/>
              <a:cs typeface="+mn-cs"/>
            </a:rPr>
            <a:t>⑥ジョブの実行</a:t>
          </a:r>
        </a:p>
      </xdr:txBody>
    </xdr:sp>
    <xdr:clientData/>
  </xdr:twoCellAnchor>
  <xdr:twoCellAnchor>
    <xdr:from>
      <xdr:col>22</xdr:col>
      <xdr:colOff>19049</xdr:colOff>
      <xdr:row>125</xdr:row>
      <xdr:rowOff>114299</xdr:rowOff>
    </xdr:from>
    <xdr:to>
      <xdr:col>27</xdr:col>
      <xdr:colOff>19049</xdr:colOff>
      <xdr:row>129</xdr:row>
      <xdr:rowOff>71437</xdr:rowOff>
    </xdr:to>
    <xdr:cxnSp macro="">
      <xdr:nvCxnSpPr>
        <xdr:cNvPr id="110" name="コネクタ: カギ線 109">
          <a:extLst>
            <a:ext uri="{FF2B5EF4-FFF2-40B4-BE49-F238E27FC236}">
              <a16:creationId xmlns:a16="http://schemas.microsoft.com/office/drawing/2014/main" id="{0102C76A-86C0-D264-A8A0-ACF60A8F0CAE}"/>
            </a:ext>
          </a:extLst>
        </xdr:cNvPr>
        <xdr:cNvCxnSpPr>
          <a:stCxn id="101" idx="2"/>
          <a:endCxn id="109" idx="1"/>
        </xdr:cNvCxnSpPr>
      </xdr:nvCxnSpPr>
      <xdr:spPr>
        <a:xfrm rot="16200000" flipH="1">
          <a:off x="6522243" y="17661730"/>
          <a:ext cx="528638" cy="13811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142875</xdr:colOff>
      <xdr:row>134</xdr:row>
      <xdr:rowOff>104775</xdr:rowOff>
    </xdr:from>
    <xdr:to>
      <xdr:col>22</xdr:col>
      <xdr:colOff>171450</xdr:colOff>
      <xdr:row>136</xdr:row>
      <xdr:rowOff>123825</xdr:rowOff>
    </xdr:to>
    <xdr:sp macro="" textlink="">
      <xdr:nvSpPr>
        <xdr:cNvPr id="121" name="ひし形 120">
          <a:extLst>
            <a:ext uri="{FF2B5EF4-FFF2-40B4-BE49-F238E27FC236}">
              <a16:creationId xmlns:a16="http://schemas.microsoft.com/office/drawing/2014/main" id="{C6417AD1-2EBC-CCF7-372E-D92A5FC84500}"/>
            </a:ext>
          </a:extLst>
        </xdr:cNvPr>
        <xdr:cNvSpPr/>
      </xdr:nvSpPr>
      <xdr:spPr>
        <a:xfrm>
          <a:off x="5943600" y="19364325"/>
          <a:ext cx="304800" cy="30480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22</xdr:col>
      <xdr:colOff>19051</xdr:colOff>
      <xdr:row>131</xdr:row>
      <xdr:rowOff>38098</xdr:rowOff>
    </xdr:from>
    <xdr:to>
      <xdr:col>30</xdr:col>
      <xdr:colOff>19051</xdr:colOff>
      <xdr:row>134</xdr:row>
      <xdr:rowOff>104774</xdr:rowOff>
    </xdr:to>
    <xdr:cxnSp macro="">
      <xdr:nvCxnSpPr>
        <xdr:cNvPr id="122" name="コネクタ: カギ線 121">
          <a:extLst>
            <a:ext uri="{FF2B5EF4-FFF2-40B4-BE49-F238E27FC236}">
              <a16:creationId xmlns:a16="http://schemas.microsoft.com/office/drawing/2014/main" id="{BC260D72-9654-1ADC-E897-63D2A09D992C}"/>
            </a:ext>
          </a:extLst>
        </xdr:cNvPr>
        <xdr:cNvCxnSpPr>
          <a:stCxn id="109" idx="2"/>
          <a:endCxn id="121" idx="0"/>
        </xdr:cNvCxnSpPr>
      </xdr:nvCxnSpPr>
      <xdr:spPr>
        <a:xfrm rot="5400000">
          <a:off x="6953250" y="18011774"/>
          <a:ext cx="495301" cy="22098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161925</xdr:colOff>
      <xdr:row>138</xdr:row>
      <xdr:rowOff>38100</xdr:rowOff>
    </xdr:from>
    <xdr:to>
      <xdr:col>19</xdr:col>
      <xdr:colOff>180975</xdr:colOff>
      <xdr:row>140</xdr:row>
      <xdr:rowOff>47625</xdr:rowOff>
    </xdr:to>
    <xdr:sp macro="" textlink="">
      <xdr:nvSpPr>
        <xdr:cNvPr id="127" name="フローチャート: 和接合 126">
          <a:extLst>
            <a:ext uri="{FF2B5EF4-FFF2-40B4-BE49-F238E27FC236}">
              <a16:creationId xmlns:a16="http://schemas.microsoft.com/office/drawing/2014/main" id="{138E1935-6E6C-1EFB-DADE-989CF16DCB37}"/>
            </a:ext>
          </a:extLst>
        </xdr:cNvPr>
        <xdr:cNvSpPr/>
      </xdr:nvSpPr>
      <xdr:spPr>
        <a:xfrm>
          <a:off x="5133975" y="19869150"/>
          <a:ext cx="295275" cy="295275"/>
        </a:xfrm>
        <a:prstGeom prst="flowChartSummingJunction">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19</xdr:col>
      <xdr:colOff>33339</xdr:colOff>
      <xdr:row>135</xdr:row>
      <xdr:rowOff>114299</xdr:rowOff>
    </xdr:from>
    <xdr:to>
      <xdr:col>21</xdr:col>
      <xdr:colOff>142876</xdr:colOff>
      <xdr:row>138</xdr:row>
      <xdr:rowOff>38099</xdr:rowOff>
    </xdr:to>
    <xdr:cxnSp macro="">
      <xdr:nvCxnSpPr>
        <xdr:cNvPr id="1024" name="コネクタ: カギ線 1023">
          <a:extLst>
            <a:ext uri="{FF2B5EF4-FFF2-40B4-BE49-F238E27FC236}">
              <a16:creationId xmlns:a16="http://schemas.microsoft.com/office/drawing/2014/main" id="{35BA483B-860E-99DB-9D31-7C78E41C2CF7}"/>
            </a:ext>
          </a:extLst>
        </xdr:cNvPr>
        <xdr:cNvCxnSpPr>
          <a:stCxn id="121" idx="1"/>
          <a:endCxn id="127" idx="0"/>
        </xdr:cNvCxnSpPr>
      </xdr:nvCxnSpPr>
      <xdr:spPr>
        <a:xfrm rot="10800000" flipV="1">
          <a:off x="5281614" y="19516724"/>
          <a:ext cx="661987" cy="3524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106681</xdr:colOff>
      <xdr:row>140</xdr:row>
      <xdr:rowOff>35606</xdr:rowOff>
    </xdr:from>
    <xdr:to>
      <xdr:col>22</xdr:col>
      <xdr:colOff>207645</xdr:colOff>
      <xdr:row>142</xdr:row>
      <xdr:rowOff>125329</xdr:rowOff>
    </xdr:to>
    <xdr:grpSp>
      <xdr:nvGrpSpPr>
        <xdr:cNvPr id="1031" name="グループ化 1030">
          <a:extLst>
            <a:ext uri="{FF2B5EF4-FFF2-40B4-BE49-F238E27FC236}">
              <a16:creationId xmlns:a16="http://schemas.microsoft.com/office/drawing/2014/main" id="{4D92CC57-2AF6-E8D6-D157-77AE297EF0F2}"/>
            </a:ext>
          </a:extLst>
        </xdr:cNvPr>
        <xdr:cNvGrpSpPr/>
      </xdr:nvGrpSpPr>
      <xdr:grpSpPr>
        <a:xfrm>
          <a:off x="5907406" y="20152406"/>
          <a:ext cx="377189" cy="375473"/>
          <a:chOff x="6128385" y="19543395"/>
          <a:chExt cx="803910" cy="809625"/>
        </a:xfrm>
      </xdr:grpSpPr>
      <xdr:sp macro="" textlink="">
        <xdr:nvSpPr>
          <xdr:cNvPr id="1029" name="楕円 1028">
            <a:extLst>
              <a:ext uri="{FF2B5EF4-FFF2-40B4-BE49-F238E27FC236}">
                <a16:creationId xmlns:a16="http://schemas.microsoft.com/office/drawing/2014/main" id="{3B565F34-282E-D059-F2D7-8BA3E54AC791}"/>
              </a:ext>
            </a:extLst>
          </xdr:cNvPr>
          <xdr:cNvSpPr/>
        </xdr:nvSpPr>
        <xdr:spPr>
          <a:xfrm>
            <a:off x="6128385" y="19543395"/>
            <a:ext cx="803910" cy="809625"/>
          </a:xfrm>
          <a:prstGeom prst="ellipse">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030" name="楕円 1029">
            <a:extLst>
              <a:ext uri="{FF2B5EF4-FFF2-40B4-BE49-F238E27FC236}">
                <a16:creationId xmlns:a16="http://schemas.microsoft.com/office/drawing/2014/main" id="{D0494E27-5F78-0FC2-22D2-2CD977827F3B}"/>
              </a:ext>
            </a:extLst>
          </xdr:cNvPr>
          <xdr:cNvSpPr/>
        </xdr:nvSpPr>
        <xdr:spPr>
          <a:xfrm>
            <a:off x="6222964" y="19638214"/>
            <a:ext cx="614751" cy="619990"/>
          </a:xfrm>
          <a:prstGeom prst="ellipse">
            <a:avLst/>
          </a:prstGeom>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22</xdr:col>
      <xdr:colOff>19050</xdr:colOff>
      <xdr:row>136</xdr:row>
      <xdr:rowOff>123825</xdr:rowOff>
    </xdr:from>
    <xdr:to>
      <xdr:col>22</xdr:col>
      <xdr:colOff>19051</xdr:colOff>
      <xdr:row>140</xdr:row>
      <xdr:rowOff>35606</xdr:rowOff>
    </xdr:to>
    <xdr:cxnSp macro="">
      <xdr:nvCxnSpPr>
        <xdr:cNvPr id="1032" name="直線矢印コネクタ 1031">
          <a:extLst>
            <a:ext uri="{FF2B5EF4-FFF2-40B4-BE49-F238E27FC236}">
              <a16:creationId xmlns:a16="http://schemas.microsoft.com/office/drawing/2014/main" id="{2E879610-9B1A-36D0-EC1D-7FA3BBF3DA3B}"/>
            </a:ext>
          </a:extLst>
        </xdr:cNvPr>
        <xdr:cNvCxnSpPr>
          <a:stCxn id="121" idx="2"/>
          <a:endCxn id="1029" idx="0"/>
        </xdr:cNvCxnSpPr>
      </xdr:nvCxnSpPr>
      <xdr:spPr>
        <a:xfrm>
          <a:off x="6096000" y="19669125"/>
          <a:ext cx="1" cy="48328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57149</xdr:colOff>
      <xdr:row>112</xdr:row>
      <xdr:rowOff>66675</xdr:rowOff>
    </xdr:from>
    <xdr:to>
      <xdr:col>22</xdr:col>
      <xdr:colOff>171449</xdr:colOff>
      <xdr:row>114</xdr:row>
      <xdr:rowOff>38100</xdr:rowOff>
    </xdr:to>
    <xdr:sp macro="" textlink="">
      <xdr:nvSpPr>
        <xdr:cNvPr id="1045" name="正方形/長方形 1044">
          <a:extLst>
            <a:ext uri="{FF2B5EF4-FFF2-40B4-BE49-F238E27FC236}">
              <a16:creationId xmlns:a16="http://schemas.microsoft.com/office/drawing/2014/main" id="{69A383F7-8500-F6A9-B084-A42F89CCA3FD}"/>
            </a:ext>
          </a:extLst>
        </xdr:cNvPr>
        <xdr:cNvSpPr/>
      </xdr:nvSpPr>
      <xdr:spPr>
        <a:xfrm>
          <a:off x="4752974" y="15611475"/>
          <a:ext cx="1495425"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多重起動している</a:t>
          </a:r>
          <a:r>
            <a:rPr kumimoji="1" lang="en-US" altLang="ja-JP" sz="900"/>
            <a:t>]</a:t>
          </a:r>
          <a:endParaRPr kumimoji="1" lang="ja-JP" altLang="en-US" sz="900"/>
        </a:p>
      </xdr:txBody>
    </xdr:sp>
    <xdr:clientData/>
  </xdr:twoCellAnchor>
  <xdr:twoCellAnchor>
    <xdr:from>
      <xdr:col>21</xdr:col>
      <xdr:colOff>104774</xdr:colOff>
      <xdr:row>116</xdr:row>
      <xdr:rowOff>0</xdr:rowOff>
    </xdr:from>
    <xdr:to>
      <xdr:col>26</xdr:col>
      <xdr:colOff>219074</xdr:colOff>
      <xdr:row>117</xdr:row>
      <xdr:rowOff>114300</xdr:rowOff>
    </xdr:to>
    <xdr:sp macro="" textlink="">
      <xdr:nvSpPr>
        <xdr:cNvPr id="1063" name="正方形/長方形 1062">
          <a:extLst>
            <a:ext uri="{FF2B5EF4-FFF2-40B4-BE49-F238E27FC236}">
              <a16:creationId xmlns:a16="http://schemas.microsoft.com/office/drawing/2014/main" id="{E2A1391A-C984-E3F4-5EAC-5927866D9FFA}"/>
            </a:ext>
          </a:extLst>
        </xdr:cNvPr>
        <xdr:cNvSpPr/>
      </xdr:nvSpPr>
      <xdr:spPr>
        <a:xfrm>
          <a:off x="5905499" y="16116300"/>
          <a:ext cx="1495425"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多重起動していない</a:t>
          </a:r>
          <a:r>
            <a:rPr kumimoji="1" lang="en-US" altLang="ja-JP" sz="900"/>
            <a:t>]</a:t>
          </a:r>
          <a:endParaRPr kumimoji="1" lang="ja-JP" altLang="en-US" sz="900"/>
        </a:p>
      </xdr:txBody>
    </xdr:sp>
    <xdr:clientData/>
  </xdr:twoCellAnchor>
  <xdr:twoCellAnchor>
    <xdr:from>
      <xdr:col>17</xdr:col>
      <xdr:colOff>28574</xdr:colOff>
      <xdr:row>118</xdr:row>
      <xdr:rowOff>114300</xdr:rowOff>
    </xdr:from>
    <xdr:to>
      <xdr:col>21</xdr:col>
      <xdr:colOff>76200</xdr:colOff>
      <xdr:row>120</xdr:row>
      <xdr:rowOff>85725</xdr:rowOff>
    </xdr:to>
    <xdr:sp macro="" textlink="">
      <xdr:nvSpPr>
        <xdr:cNvPr id="1065" name="正方形/長方形 1064">
          <a:extLst>
            <a:ext uri="{FF2B5EF4-FFF2-40B4-BE49-F238E27FC236}">
              <a16:creationId xmlns:a16="http://schemas.microsoft.com/office/drawing/2014/main" id="{7374BF3D-9A52-9EA9-82C2-97F8601AB435}"/>
            </a:ext>
          </a:extLst>
        </xdr:cNvPr>
        <xdr:cNvSpPr/>
      </xdr:nvSpPr>
      <xdr:spPr>
        <a:xfrm>
          <a:off x="4724399" y="17087850"/>
          <a:ext cx="1152526"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エラー終了</a:t>
          </a:r>
        </a:p>
      </xdr:txBody>
    </xdr:sp>
    <xdr:clientData/>
  </xdr:twoCellAnchor>
  <xdr:twoCellAnchor>
    <xdr:from>
      <xdr:col>17</xdr:col>
      <xdr:colOff>104774</xdr:colOff>
      <xdr:row>140</xdr:row>
      <xdr:rowOff>38100</xdr:rowOff>
    </xdr:from>
    <xdr:to>
      <xdr:col>21</xdr:col>
      <xdr:colOff>0</xdr:colOff>
      <xdr:row>142</xdr:row>
      <xdr:rowOff>9525</xdr:rowOff>
    </xdr:to>
    <xdr:sp macro="" textlink="">
      <xdr:nvSpPr>
        <xdr:cNvPr id="1067" name="正方形/長方形 1066">
          <a:extLst>
            <a:ext uri="{FF2B5EF4-FFF2-40B4-BE49-F238E27FC236}">
              <a16:creationId xmlns:a16="http://schemas.microsoft.com/office/drawing/2014/main" id="{09F57617-51C4-0E35-0D07-40B7207A08D9}"/>
            </a:ext>
          </a:extLst>
        </xdr:cNvPr>
        <xdr:cNvSpPr/>
      </xdr:nvSpPr>
      <xdr:spPr>
        <a:xfrm>
          <a:off x="4800599" y="20154900"/>
          <a:ext cx="1000126"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エラー終了</a:t>
          </a:r>
        </a:p>
      </xdr:txBody>
    </xdr:sp>
    <xdr:clientData/>
  </xdr:twoCellAnchor>
  <xdr:twoCellAnchor>
    <xdr:from>
      <xdr:col>20</xdr:col>
      <xdr:colOff>133349</xdr:colOff>
      <xdr:row>142</xdr:row>
      <xdr:rowOff>114300</xdr:rowOff>
    </xdr:from>
    <xdr:to>
      <xdr:col>23</xdr:col>
      <xdr:colOff>228600</xdr:colOff>
      <xdr:row>145</xdr:row>
      <xdr:rowOff>0</xdr:rowOff>
    </xdr:to>
    <xdr:sp macro="" textlink="">
      <xdr:nvSpPr>
        <xdr:cNvPr id="1068" name="正方形/長方形 1067">
          <a:extLst>
            <a:ext uri="{FF2B5EF4-FFF2-40B4-BE49-F238E27FC236}">
              <a16:creationId xmlns:a16="http://schemas.microsoft.com/office/drawing/2014/main" id="{586082B7-C49E-4262-B160-B74E61895128}"/>
            </a:ext>
          </a:extLst>
        </xdr:cNvPr>
        <xdr:cNvSpPr/>
      </xdr:nvSpPr>
      <xdr:spPr>
        <a:xfrm>
          <a:off x="5657849" y="20516850"/>
          <a:ext cx="923926" cy="31432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正常終了</a:t>
          </a:r>
        </a:p>
      </xdr:txBody>
    </xdr:sp>
    <xdr:clientData/>
  </xdr:twoCellAnchor>
  <xdr:twoCellAnchor>
    <xdr:from>
      <xdr:col>21</xdr:col>
      <xdr:colOff>266697</xdr:colOff>
      <xdr:row>137</xdr:row>
      <xdr:rowOff>76200</xdr:rowOff>
    </xdr:from>
    <xdr:to>
      <xdr:col>25</xdr:col>
      <xdr:colOff>123824</xdr:colOff>
      <xdr:row>139</xdr:row>
      <xdr:rowOff>47625</xdr:rowOff>
    </xdr:to>
    <xdr:sp macro="" textlink="">
      <xdr:nvSpPr>
        <xdr:cNvPr id="1069" name="正方形/長方形 1068">
          <a:extLst>
            <a:ext uri="{FF2B5EF4-FFF2-40B4-BE49-F238E27FC236}">
              <a16:creationId xmlns:a16="http://schemas.microsoft.com/office/drawing/2014/main" id="{BDE82CBD-D465-52D3-A289-9F372E5A449B}"/>
            </a:ext>
          </a:extLst>
        </xdr:cNvPr>
        <xdr:cNvSpPr/>
      </xdr:nvSpPr>
      <xdr:spPr>
        <a:xfrm>
          <a:off x="6067422" y="19764375"/>
          <a:ext cx="962027"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エラー無し</a:t>
          </a:r>
          <a:r>
            <a:rPr kumimoji="1" lang="en-US" altLang="ja-JP" sz="900"/>
            <a:t>]</a:t>
          </a:r>
          <a:endParaRPr kumimoji="1" lang="ja-JP" altLang="en-US" sz="900"/>
        </a:p>
      </xdr:txBody>
    </xdr:sp>
    <xdr:clientData/>
  </xdr:twoCellAnchor>
  <xdr:twoCellAnchor>
    <xdr:from>
      <xdr:col>18</xdr:col>
      <xdr:colOff>95247</xdr:colOff>
      <xdr:row>133</xdr:row>
      <xdr:rowOff>123825</xdr:rowOff>
    </xdr:from>
    <xdr:to>
      <xdr:col>21</xdr:col>
      <xdr:colOff>228599</xdr:colOff>
      <xdr:row>135</xdr:row>
      <xdr:rowOff>95250</xdr:rowOff>
    </xdr:to>
    <xdr:sp macro="" textlink="">
      <xdr:nvSpPr>
        <xdr:cNvPr id="1070" name="正方形/長方形 1069">
          <a:extLst>
            <a:ext uri="{FF2B5EF4-FFF2-40B4-BE49-F238E27FC236}">
              <a16:creationId xmlns:a16="http://schemas.microsoft.com/office/drawing/2014/main" id="{8111ECB3-325C-C8E0-7ABF-FF17705AF6E5}"/>
            </a:ext>
          </a:extLst>
        </xdr:cNvPr>
        <xdr:cNvSpPr/>
      </xdr:nvSpPr>
      <xdr:spPr>
        <a:xfrm>
          <a:off x="5067297" y="19240500"/>
          <a:ext cx="962027"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エラー有り</a:t>
          </a:r>
          <a:r>
            <a:rPr kumimoji="1" lang="en-US" altLang="ja-JP" sz="900"/>
            <a:t>]</a:t>
          </a:r>
          <a:endParaRPr kumimoji="1" lang="ja-JP" altLang="en-US" sz="900"/>
        </a:p>
      </xdr:txBody>
    </xdr:sp>
    <xdr:clientData/>
  </xdr:twoCellAnchor>
  <xdr:twoCellAnchor>
    <xdr:from>
      <xdr:col>4</xdr:col>
      <xdr:colOff>123824</xdr:colOff>
      <xdr:row>83</xdr:row>
      <xdr:rowOff>142874</xdr:rowOff>
    </xdr:from>
    <xdr:to>
      <xdr:col>10</xdr:col>
      <xdr:colOff>114299</xdr:colOff>
      <xdr:row>88</xdr:row>
      <xdr:rowOff>9525</xdr:rowOff>
    </xdr:to>
    <xdr:sp macro="" textlink="">
      <xdr:nvSpPr>
        <xdr:cNvPr id="1073" name="四角形: 角を丸くする 1072">
          <a:extLst>
            <a:ext uri="{FF2B5EF4-FFF2-40B4-BE49-F238E27FC236}">
              <a16:creationId xmlns:a16="http://schemas.microsoft.com/office/drawing/2014/main" id="{FEB32853-26F7-DA80-2AA6-6B4B838909D7}"/>
            </a:ext>
          </a:extLst>
        </xdr:cNvPr>
        <xdr:cNvSpPr/>
      </xdr:nvSpPr>
      <xdr:spPr>
        <a:xfrm>
          <a:off x="1228724" y="12115799"/>
          <a:ext cx="1647825" cy="581026"/>
        </a:xfrm>
        <a:prstGeom prst="round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①所定のイベントで</a:t>
          </a:r>
          <a:endParaRPr kumimoji="1" lang="en-US" altLang="ja-JP" sz="1100"/>
        </a:p>
        <a:p>
          <a:pPr algn="ctr"/>
          <a:r>
            <a:rPr kumimoji="1" lang="ja-JP" altLang="en-US" sz="1100"/>
            <a:t>起動する</a:t>
          </a:r>
        </a:p>
      </xdr:txBody>
    </xdr:sp>
    <xdr:clientData/>
  </xdr:twoCellAnchor>
  <xdr:twoCellAnchor>
    <xdr:from>
      <xdr:col>8</xdr:col>
      <xdr:colOff>200025</xdr:colOff>
      <xdr:row>124</xdr:row>
      <xdr:rowOff>85725</xdr:rowOff>
    </xdr:from>
    <xdr:to>
      <xdr:col>17</xdr:col>
      <xdr:colOff>104775</xdr:colOff>
      <xdr:row>131</xdr:row>
      <xdr:rowOff>0</xdr:rowOff>
    </xdr:to>
    <xdr:sp macro="" textlink="">
      <xdr:nvSpPr>
        <xdr:cNvPr id="1077" name="吹き出し: 四角形 1076">
          <a:extLst>
            <a:ext uri="{FF2B5EF4-FFF2-40B4-BE49-F238E27FC236}">
              <a16:creationId xmlns:a16="http://schemas.microsoft.com/office/drawing/2014/main" id="{EC4E5C1D-3C86-672D-B556-FD342AC4BA9F}"/>
            </a:ext>
          </a:extLst>
        </xdr:cNvPr>
        <xdr:cNvSpPr/>
      </xdr:nvSpPr>
      <xdr:spPr>
        <a:xfrm>
          <a:off x="2409825" y="17916525"/>
          <a:ext cx="2390775" cy="914400"/>
        </a:xfrm>
        <a:prstGeom prst="wedgeRectCallout">
          <a:avLst>
            <a:gd name="adj1" fmla="val 64824"/>
            <a:gd name="adj2" fmla="val -44773"/>
          </a:avLst>
        </a:prstGeom>
        <a:ln w="1270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ジョブネットによっては複数のジョブを呼び出すことも可。</a:t>
          </a:r>
          <a:endParaRPr kumimoji="1" lang="en-US" altLang="ja-JP" sz="1100"/>
        </a:p>
        <a:p>
          <a:pPr algn="l"/>
          <a:r>
            <a:rPr kumimoji="1" lang="ja-JP" altLang="en-US" sz="1100"/>
            <a:t>具体的な制御は各ジョブネットの設計に従って組み立てる。</a:t>
          </a:r>
        </a:p>
      </xdr:txBody>
    </xdr:sp>
    <xdr:clientData/>
  </xdr:twoCellAnchor>
  <xdr:twoCellAnchor>
    <xdr:from>
      <xdr:col>11</xdr:col>
      <xdr:colOff>28575</xdr:colOff>
      <xdr:row>83</xdr:row>
      <xdr:rowOff>38100</xdr:rowOff>
    </xdr:from>
    <xdr:to>
      <xdr:col>23</xdr:col>
      <xdr:colOff>28575</xdr:colOff>
      <xdr:row>85</xdr:row>
      <xdr:rowOff>66675</xdr:rowOff>
    </xdr:to>
    <xdr:sp macro="" textlink="">
      <xdr:nvSpPr>
        <xdr:cNvPr id="1078" name="吹き出し: 四角形 1077">
          <a:extLst>
            <a:ext uri="{FF2B5EF4-FFF2-40B4-BE49-F238E27FC236}">
              <a16:creationId xmlns:a16="http://schemas.microsoft.com/office/drawing/2014/main" id="{C254D84F-3A76-F134-1149-96DF3647C6CD}"/>
            </a:ext>
          </a:extLst>
        </xdr:cNvPr>
        <xdr:cNvSpPr/>
      </xdr:nvSpPr>
      <xdr:spPr>
        <a:xfrm>
          <a:off x="3067050" y="12011025"/>
          <a:ext cx="3314700" cy="314325"/>
        </a:xfrm>
        <a:prstGeom prst="wedgeRectCallout">
          <a:avLst>
            <a:gd name="adj1" fmla="val -57881"/>
            <a:gd name="adj2" fmla="val 26136"/>
          </a:avLst>
        </a:prstGeom>
        <a:ln w="12700"/>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イベント</a:t>
          </a:r>
          <a:r>
            <a:rPr kumimoji="1" lang="en-US" altLang="ja-JP" sz="1100"/>
            <a:t>=</a:t>
          </a:r>
          <a:r>
            <a:rPr kumimoji="1" lang="ja-JP" altLang="en-US" sz="1100"/>
            <a:t>定期実行や</a:t>
          </a:r>
          <a:r>
            <a:rPr kumimoji="1" lang="en-US" altLang="ja-JP" sz="1100"/>
            <a:t>S3</a:t>
          </a:r>
          <a:r>
            <a:rPr kumimoji="1" lang="ja-JP" altLang="en-US" sz="1100"/>
            <a:t>へのファイル配置など</a:t>
          </a:r>
        </a:p>
      </xdr:txBody>
    </xdr:sp>
    <xdr:clientData/>
  </xdr:twoCellAnchor>
  <xdr:twoCellAnchor>
    <xdr:from>
      <xdr:col>21</xdr:col>
      <xdr:colOff>142875</xdr:colOff>
      <xdr:row>100</xdr:row>
      <xdr:rowOff>123825</xdr:rowOff>
    </xdr:from>
    <xdr:to>
      <xdr:col>22</xdr:col>
      <xdr:colOff>171450</xdr:colOff>
      <xdr:row>103</xdr:row>
      <xdr:rowOff>0</xdr:rowOff>
    </xdr:to>
    <xdr:sp macro="" textlink="">
      <xdr:nvSpPr>
        <xdr:cNvPr id="195" name="ひし形 194">
          <a:extLst>
            <a:ext uri="{FF2B5EF4-FFF2-40B4-BE49-F238E27FC236}">
              <a16:creationId xmlns:a16="http://schemas.microsoft.com/office/drawing/2014/main" id="{9F6129E3-9857-DD38-167F-666CBABA3B30}"/>
            </a:ext>
          </a:extLst>
        </xdr:cNvPr>
        <xdr:cNvSpPr/>
      </xdr:nvSpPr>
      <xdr:spPr>
        <a:xfrm>
          <a:off x="5943600" y="13954125"/>
          <a:ext cx="304800" cy="304800"/>
        </a:xfrm>
        <a:prstGeom prst="diamond">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257175</xdr:colOff>
      <xdr:row>104</xdr:row>
      <xdr:rowOff>76200</xdr:rowOff>
    </xdr:from>
    <xdr:to>
      <xdr:col>15</xdr:col>
      <xdr:colOff>0</xdr:colOff>
      <xdr:row>106</xdr:row>
      <xdr:rowOff>85725</xdr:rowOff>
    </xdr:to>
    <xdr:sp macro="" textlink="">
      <xdr:nvSpPr>
        <xdr:cNvPr id="200" name="フローチャート: 和接合 199">
          <a:extLst>
            <a:ext uri="{FF2B5EF4-FFF2-40B4-BE49-F238E27FC236}">
              <a16:creationId xmlns:a16="http://schemas.microsoft.com/office/drawing/2014/main" id="{F22526ED-4227-BBD8-2063-6E476F73D000}"/>
            </a:ext>
          </a:extLst>
        </xdr:cNvPr>
        <xdr:cNvSpPr/>
      </xdr:nvSpPr>
      <xdr:spPr>
        <a:xfrm>
          <a:off x="3848100" y="14478000"/>
          <a:ext cx="295275" cy="295275"/>
        </a:xfrm>
        <a:prstGeom prst="flowChartSummingJunction">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14</xdr:col>
      <xdr:colOff>128588</xdr:colOff>
      <xdr:row>101</xdr:row>
      <xdr:rowOff>133349</xdr:rowOff>
    </xdr:from>
    <xdr:to>
      <xdr:col>21</xdr:col>
      <xdr:colOff>142875</xdr:colOff>
      <xdr:row>104</xdr:row>
      <xdr:rowOff>76199</xdr:rowOff>
    </xdr:to>
    <xdr:cxnSp macro="">
      <xdr:nvCxnSpPr>
        <xdr:cNvPr id="202" name="コネクタ: カギ線 201">
          <a:extLst>
            <a:ext uri="{FF2B5EF4-FFF2-40B4-BE49-F238E27FC236}">
              <a16:creationId xmlns:a16="http://schemas.microsoft.com/office/drawing/2014/main" id="{2FB3C27F-7ED3-12A4-4DE5-4C59A6A9BF94}"/>
            </a:ext>
          </a:extLst>
        </xdr:cNvPr>
        <xdr:cNvCxnSpPr>
          <a:stCxn id="195" idx="1"/>
          <a:endCxn id="200" idx="0"/>
        </xdr:cNvCxnSpPr>
      </xdr:nvCxnSpPr>
      <xdr:spPr>
        <a:xfrm rot="10800000" flipV="1">
          <a:off x="3995738" y="14106524"/>
          <a:ext cx="1947862" cy="37147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19050</xdr:colOff>
      <xdr:row>103</xdr:row>
      <xdr:rowOff>0</xdr:rowOff>
    </xdr:from>
    <xdr:to>
      <xdr:col>22</xdr:col>
      <xdr:colOff>19050</xdr:colOff>
      <xdr:row>106</xdr:row>
      <xdr:rowOff>114300</xdr:rowOff>
    </xdr:to>
    <xdr:cxnSp macro="">
      <xdr:nvCxnSpPr>
        <xdr:cNvPr id="205" name="直線矢印コネクタ 204">
          <a:extLst>
            <a:ext uri="{FF2B5EF4-FFF2-40B4-BE49-F238E27FC236}">
              <a16:creationId xmlns:a16="http://schemas.microsoft.com/office/drawing/2014/main" id="{4828B4D9-3B54-7911-AA96-08D1698608F3}"/>
            </a:ext>
          </a:extLst>
        </xdr:cNvPr>
        <xdr:cNvCxnSpPr>
          <a:stCxn id="195" idx="2"/>
          <a:endCxn id="41" idx="0"/>
        </xdr:cNvCxnSpPr>
      </xdr:nvCxnSpPr>
      <xdr:spPr>
        <a:xfrm>
          <a:off x="6096000" y="14830425"/>
          <a:ext cx="0" cy="5429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219074</xdr:colOff>
      <xdr:row>107</xdr:row>
      <xdr:rowOff>0</xdr:rowOff>
    </xdr:from>
    <xdr:to>
      <xdr:col>16</xdr:col>
      <xdr:colOff>57150</xdr:colOff>
      <xdr:row>108</xdr:row>
      <xdr:rowOff>114300</xdr:rowOff>
    </xdr:to>
    <xdr:sp macro="" textlink="">
      <xdr:nvSpPr>
        <xdr:cNvPr id="209" name="正方形/長方形 208">
          <a:extLst>
            <a:ext uri="{FF2B5EF4-FFF2-40B4-BE49-F238E27FC236}">
              <a16:creationId xmlns:a16="http://schemas.microsoft.com/office/drawing/2014/main" id="{C942F844-887D-E85B-B2E3-125E7E12491B}"/>
            </a:ext>
          </a:extLst>
        </xdr:cNvPr>
        <xdr:cNvSpPr/>
      </xdr:nvSpPr>
      <xdr:spPr>
        <a:xfrm>
          <a:off x="3533774" y="15401925"/>
          <a:ext cx="942976"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t>エラー終了</a:t>
          </a:r>
        </a:p>
      </xdr:txBody>
    </xdr:sp>
    <xdr:clientData/>
  </xdr:twoCellAnchor>
  <xdr:twoCellAnchor>
    <xdr:from>
      <xdr:col>15</xdr:col>
      <xdr:colOff>228599</xdr:colOff>
      <xdr:row>102</xdr:row>
      <xdr:rowOff>28575</xdr:rowOff>
    </xdr:from>
    <xdr:to>
      <xdr:col>21</xdr:col>
      <xdr:colOff>66674</xdr:colOff>
      <xdr:row>104</xdr:row>
      <xdr:rowOff>0</xdr:rowOff>
    </xdr:to>
    <xdr:sp macro="" textlink="">
      <xdr:nvSpPr>
        <xdr:cNvPr id="210" name="正方形/長方形 209">
          <a:extLst>
            <a:ext uri="{FF2B5EF4-FFF2-40B4-BE49-F238E27FC236}">
              <a16:creationId xmlns:a16="http://schemas.microsoft.com/office/drawing/2014/main" id="{4C1C1944-FFEE-976C-8703-3EF0DC69AE9D}"/>
            </a:ext>
          </a:extLst>
        </xdr:cNvPr>
        <xdr:cNvSpPr/>
      </xdr:nvSpPr>
      <xdr:spPr>
        <a:xfrm>
          <a:off x="4371974" y="14144625"/>
          <a:ext cx="1495425"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重複起動している</a:t>
          </a:r>
          <a:r>
            <a:rPr kumimoji="1" lang="en-US" altLang="ja-JP" sz="900"/>
            <a:t>]</a:t>
          </a:r>
          <a:endParaRPr kumimoji="1" lang="ja-JP" altLang="en-US" sz="900"/>
        </a:p>
      </xdr:txBody>
    </xdr:sp>
    <xdr:clientData/>
  </xdr:twoCellAnchor>
  <xdr:twoCellAnchor>
    <xdr:from>
      <xdr:col>21</xdr:col>
      <xdr:colOff>180974</xdr:colOff>
      <xdr:row>104</xdr:row>
      <xdr:rowOff>57150</xdr:rowOff>
    </xdr:from>
    <xdr:to>
      <xdr:col>27</xdr:col>
      <xdr:colOff>19049</xdr:colOff>
      <xdr:row>106</xdr:row>
      <xdr:rowOff>28575</xdr:rowOff>
    </xdr:to>
    <xdr:sp macro="" textlink="">
      <xdr:nvSpPr>
        <xdr:cNvPr id="211" name="正方形/長方形 210">
          <a:extLst>
            <a:ext uri="{FF2B5EF4-FFF2-40B4-BE49-F238E27FC236}">
              <a16:creationId xmlns:a16="http://schemas.microsoft.com/office/drawing/2014/main" id="{4C6697A8-AFD5-398B-2B1D-A57421F8D9B6}"/>
            </a:ext>
          </a:extLst>
        </xdr:cNvPr>
        <xdr:cNvSpPr/>
      </xdr:nvSpPr>
      <xdr:spPr>
        <a:xfrm>
          <a:off x="5981699" y="14458950"/>
          <a:ext cx="1495425" cy="257175"/>
        </a:xfrm>
        <a:prstGeom prst="rect">
          <a:avLst/>
        </a:prstGeom>
        <a:solidFill>
          <a:schemeClr val="lt1">
            <a:alpha val="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900"/>
            <a:t>[</a:t>
          </a:r>
          <a:r>
            <a:rPr kumimoji="1" lang="ja-JP" altLang="en-US" sz="900"/>
            <a:t>重複起動していない</a:t>
          </a:r>
          <a:r>
            <a:rPr kumimoji="1" lang="en-US" altLang="ja-JP" sz="900"/>
            <a:t>]</a:t>
          </a:r>
          <a:endParaRPr kumimoji="1" lang="ja-JP" altLang="en-US" sz="900"/>
        </a:p>
      </xdr:txBody>
    </xdr:sp>
    <xdr:clientData/>
  </xdr:twoCellAnchor>
  <xdr:twoCellAnchor>
    <xdr:from>
      <xdr:col>5</xdr:col>
      <xdr:colOff>247649</xdr:colOff>
      <xdr:row>192</xdr:row>
      <xdr:rowOff>114300</xdr:rowOff>
    </xdr:from>
    <xdr:to>
      <xdr:col>32</xdr:col>
      <xdr:colOff>95249</xdr:colOff>
      <xdr:row>197</xdr:row>
      <xdr:rowOff>57150</xdr:rowOff>
    </xdr:to>
    <xdr:sp macro="" textlink="">
      <xdr:nvSpPr>
        <xdr:cNvPr id="16" name="吹き出し: 四角形 15">
          <a:extLst>
            <a:ext uri="{FF2B5EF4-FFF2-40B4-BE49-F238E27FC236}">
              <a16:creationId xmlns:a16="http://schemas.microsoft.com/office/drawing/2014/main" id="{4866349B-EC98-C91F-A97E-34B4928A37BE}"/>
            </a:ext>
          </a:extLst>
        </xdr:cNvPr>
        <xdr:cNvSpPr/>
      </xdr:nvSpPr>
      <xdr:spPr bwMode="auto">
        <a:xfrm>
          <a:off x="1628774" y="27374850"/>
          <a:ext cx="7305675" cy="657225"/>
        </a:xfrm>
        <a:prstGeom prst="wedgeRectCallout">
          <a:avLst>
            <a:gd name="adj1" fmla="val -19929"/>
            <a:gd name="adj2" fmla="val -73152"/>
          </a:avLst>
        </a:prstGeom>
        <a:ln>
          <a:headEnd/>
          <a:tailEnd type="triangle" w="med" len="med"/>
        </a:ln>
      </xdr:spPr>
      <xdr:style>
        <a:lnRef idx="1">
          <a:schemeClr val="accent2"/>
        </a:lnRef>
        <a:fillRef idx="2">
          <a:schemeClr val="accent2"/>
        </a:fillRef>
        <a:effectRef idx="1">
          <a:schemeClr val="accent2"/>
        </a:effectRef>
        <a:fontRef idx="minor">
          <a:schemeClr val="dk1"/>
        </a:fontRef>
      </xdr:style>
      <xdr:txBody>
        <a:bodyPr rtlCol="0" anchor="ctr"/>
        <a:lstStyle/>
        <a:p>
          <a:pPr algn="l"/>
          <a:r>
            <a:rPr lang="ja-JP" altLang="en-US" sz="1000" b="0" i="0">
              <a:solidFill>
                <a:schemeClr val="dk1"/>
              </a:solidFill>
              <a:effectLst/>
              <a:latin typeface="+mn-lt"/>
              <a:ea typeface="+mn-ea"/>
              <a:cs typeface="+mn-cs"/>
            </a:rPr>
            <a:t>本サンプルでの</a:t>
          </a:r>
          <a:r>
            <a:rPr lang="en-US" altLang="ja-JP" sz="1000" b="0" i="0">
              <a:solidFill>
                <a:schemeClr val="dk1"/>
              </a:solidFill>
              <a:effectLst/>
              <a:latin typeface="+mn-lt"/>
              <a:ea typeface="+mn-ea"/>
              <a:cs typeface="+mn-cs"/>
            </a:rPr>
            <a:t>Lambda</a:t>
          </a:r>
          <a:r>
            <a:rPr lang="ja-JP" altLang="en-US" sz="1000" b="0" i="0">
              <a:solidFill>
                <a:schemeClr val="dk1"/>
              </a:solidFill>
              <a:effectLst/>
              <a:latin typeface="+mn-lt"/>
              <a:ea typeface="+mn-ea"/>
              <a:cs typeface="+mn-cs"/>
            </a:rPr>
            <a:t>の利用はバッチアプリケーションのみであり、起動時間が大きな課題となることもないため使用言語を統一する目的で</a:t>
          </a:r>
          <a:r>
            <a:rPr lang="en-US" altLang="ja-JP" sz="1000" b="0" i="0">
              <a:solidFill>
                <a:schemeClr val="dk1"/>
              </a:solidFill>
              <a:effectLst/>
              <a:latin typeface="+mn-lt"/>
              <a:ea typeface="+mn-ea"/>
              <a:cs typeface="+mn-cs"/>
            </a:rPr>
            <a:t>Java</a:t>
          </a:r>
          <a:r>
            <a:rPr lang="ja-JP" altLang="en-US" sz="1000" b="0" i="0">
              <a:solidFill>
                <a:schemeClr val="dk1"/>
              </a:solidFill>
              <a:effectLst/>
              <a:latin typeface="+mn-lt"/>
              <a:ea typeface="+mn-ea"/>
              <a:cs typeface="+mn-cs"/>
            </a:rPr>
            <a:t>を選択した。 実際のプロジェクトではシステムの要件や要員構成に合わせて適切な言語を選択すること。</a:t>
          </a:r>
          <a:endParaRPr kumimoji="1" lang="ja-JP" altLang="en-US" sz="10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aws.amazon.com/ja_jp/step-functions/latest/apireference/API_ListExecutions.html" TargetMode="External"/><Relationship Id="rId2" Type="http://schemas.openxmlformats.org/officeDocument/2006/relationships/hyperlink" Target="https://docs.aws.amazon.com/ja_jp/step-functions/latest/apireference/API_StartExecution.html" TargetMode="External"/><Relationship Id="rId1" Type="http://schemas.openxmlformats.org/officeDocument/2006/relationships/hyperlink" Target="https://docs.aws.amazon.com/ja_jp/eventbridge/latest/userguide/eb-troubleshooting.html"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O819"/>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55"/>
      <c r="F1" s="56"/>
      <c r="G1" s="56"/>
      <c r="H1" s="56"/>
      <c r="I1" s="56"/>
      <c r="J1" s="56"/>
      <c r="K1" s="56"/>
      <c r="L1" s="56"/>
      <c r="M1" s="56"/>
      <c r="N1" s="56"/>
      <c r="O1" s="57"/>
      <c r="P1" s="1" t="s">
        <v>1</v>
      </c>
      <c r="Q1" s="2"/>
      <c r="R1" s="58" t="s">
        <v>2</v>
      </c>
      <c r="S1" s="59"/>
      <c r="T1" s="59"/>
      <c r="U1" s="59"/>
      <c r="V1" s="59"/>
      <c r="W1" s="59"/>
      <c r="X1" s="60"/>
      <c r="Y1" s="1" t="s">
        <v>3</v>
      </c>
      <c r="Z1" s="3"/>
      <c r="AA1" s="61"/>
      <c r="AB1" s="62"/>
      <c r="AC1" s="62"/>
      <c r="AD1" s="62"/>
      <c r="AE1" s="63"/>
      <c r="AF1" s="52"/>
      <c r="AG1" s="53"/>
      <c r="AH1" s="53"/>
      <c r="AI1" s="54"/>
    </row>
    <row r="2" spans="1:35" ht="14.25" customHeight="1" x14ac:dyDescent="0.15">
      <c r="A2" s="5" t="s">
        <v>4</v>
      </c>
      <c r="B2" s="6"/>
      <c r="C2" s="6"/>
      <c r="D2" s="7"/>
      <c r="E2" s="55"/>
      <c r="F2" s="56"/>
      <c r="G2" s="56"/>
      <c r="H2" s="56"/>
      <c r="I2" s="56"/>
      <c r="J2" s="56"/>
      <c r="K2" s="56"/>
      <c r="L2" s="56"/>
      <c r="M2" s="56"/>
      <c r="N2" s="56"/>
      <c r="O2" s="57"/>
      <c r="P2" s="8" t="s">
        <v>5</v>
      </c>
      <c r="Q2" s="9"/>
      <c r="R2" s="64" t="s">
        <v>6</v>
      </c>
      <c r="S2" s="65"/>
      <c r="T2" s="65"/>
      <c r="U2" s="65"/>
      <c r="V2" s="65"/>
      <c r="W2" s="65"/>
      <c r="X2" s="66"/>
      <c r="Y2" s="1" t="s">
        <v>7</v>
      </c>
      <c r="Z2" s="3"/>
      <c r="AA2" s="61"/>
      <c r="AB2" s="62"/>
      <c r="AC2" s="62"/>
      <c r="AD2" s="62"/>
      <c r="AE2" s="63"/>
      <c r="AF2" s="52"/>
      <c r="AG2" s="53"/>
      <c r="AH2" s="53"/>
      <c r="AI2" s="54"/>
    </row>
    <row r="3" spans="1:35" ht="14.25" customHeight="1" x14ac:dyDescent="0.15">
      <c r="A3" s="1" t="s">
        <v>8</v>
      </c>
      <c r="B3" s="10"/>
      <c r="C3" s="11"/>
      <c r="D3" s="3"/>
      <c r="E3" s="70"/>
      <c r="F3" s="70"/>
      <c r="G3" s="70"/>
      <c r="H3" s="70"/>
      <c r="I3" s="70"/>
      <c r="J3" s="70"/>
      <c r="K3" s="70"/>
      <c r="L3" s="70"/>
      <c r="M3" s="70"/>
      <c r="N3" s="70"/>
      <c r="O3" s="70"/>
      <c r="P3" s="12"/>
      <c r="Q3" s="13"/>
      <c r="R3" s="67"/>
      <c r="S3" s="68"/>
      <c r="T3" s="68"/>
      <c r="U3" s="68"/>
      <c r="V3" s="68"/>
      <c r="W3" s="68"/>
      <c r="X3" s="69"/>
      <c r="Y3" s="12" t="s">
        <v>9</v>
      </c>
      <c r="Z3" s="14"/>
      <c r="AA3" s="61"/>
      <c r="AB3" s="62"/>
      <c r="AC3" s="62"/>
      <c r="AD3" s="62"/>
      <c r="AE3" s="63"/>
      <c r="AF3" s="52"/>
      <c r="AG3" s="53"/>
      <c r="AH3" s="53"/>
      <c r="AI3" s="54"/>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$B$5&amp;"1."</f>
        <v>4.1.</v>
      </c>
      <c r="D7" s="4" t="s">
        <v>12</v>
      </c>
    </row>
    <row r="8" spans="1:35" ht="11.25" customHeight="1" x14ac:dyDescent="0.15"/>
    <row r="9" spans="1:35" ht="11.25" customHeight="1" x14ac:dyDescent="0.15">
      <c r="D9" s="15" t="str">
        <f>$C$7&amp;"1."</f>
        <v>4.1.1.</v>
      </c>
      <c r="E9" s="4" t="s">
        <v>13</v>
      </c>
    </row>
    <row r="10" spans="1:35" ht="11.25" customHeight="1" x14ac:dyDescent="0.15">
      <c r="D10" s="15"/>
      <c r="E10" s="4" t="s">
        <v>14</v>
      </c>
    </row>
    <row r="11" spans="1:35" ht="11.25" customHeight="1" x14ac:dyDescent="0.15">
      <c r="D11" s="15"/>
      <c r="E11" s="4" t="s">
        <v>15</v>
      </c>
    </row>
    <row r="12" spans="1:35" ht="11.25" customHeight="1" x14ac:dyDescent="0.15"/>
    <row r="13" spans="1:35" ht="11.25" customHeight="1" x14ac:dyDescent="0.15">
      <c r="D13" s="15" t="str">
        <f>$C$7&amp;"2."</f>
        <v>4.1.2.</v>
      </c>
      <c r="E13" s="4" t="s">
        <v>16</v>
      </c>
    </row>
    <row r="14" spans="1:35" ht="11.25" customHeight="1" x14ac:dyDescent="0.15">
      <c r="E14" s="15" t="str">
        <f>$D$13&amp;"1."</f>
        <v>4.1.2.1.</v>
      </c>
      <c r="F14" s="4" t="s">
        <v>17</v>
      </c>
    </row>
    <row r="15" spans="1:35" ht="11.25" customHeight="1" x14ac:dyDescent="0.15">
      <c r="F15" s="4" t="s">
        <v>18</v>
      </c>
    </row>
    <row r="16" spans="1:35" ht="11.25" customHeight="1" x14ac:dyDescent="0.15"/>
    <row r="17" spans="6:32" ht="11.25" customHeight="1" x14ac:dyDescent="0.15">
      <c r="F17" s="25" t="s">
        <v>17</v>
      </c>
      <c r="G17" s="26"/>
      <c r="H17" s="26"/>
      <c r="I17" s="27"/>
      <c r="J17" s="27"/>
      <c r="K17" s="28" t="s">
        <v>19</v>
      </c>
      <c r="L17" s="27"/>
      <c r="M17" s="27"/>
      <c r="N17" s="27"/>
      <c r="O17" s="28" t="s">
        <v>20</v>
      </c>
      <c r="P17" s="27"/>
      <c r="Q17" s="27"/>
      <c r="R17" s="27"/>
      <c r="S17" s="27"/>
      <c r="T17" s="27"/>
      <c r="U17" s="27"/>
      <c r="V17" s="27"/>
      <c r="W17" s="27"/>
      <c r="X17" s="27"/>
      <c r="Y17" s="27"/>
      <c r="Z17" s="27"/>
      <c r="AA17" s="27"/>
      <c r="AB17" s="27"/>
      <c r="AC17" s="27"/>
      <c r="AD17" s="27"/>
      <c r="AE17" s="27"/>
      <c r="AF17" s="29"/>
    </row>
    <row r="18" spans="6:32" ht="11.25" customHeight="1" x14ac:dyDescent="0.15">
      <c r="F18" s="19" t="s">
        <v>21</v>
      </c>
      <c r="G18" s="20"/>
      <c r="H18" s="20"/>
      <c r="K18" s="16" t="s">
        <v>22</v>
      </c>
      <c r="O18" s="16" t="s">
        <v>23</v>
      </c>
      <c r="AF18" s="17"/>
    </row>
    <row r="19" spans="6:32" ht="11.25" customHeight="1" x14ac:dyDescent="0.15">
      <c r="F19" s="16"/>
      <c r="K19" s="16"/>
      <c r="O19" s="16" t="s">
        <v>24</v>
      </c>
      <c r="AF19" s="17"/>
    </row>
    <row r="20" spans="6:32" ht="11.25" customHeight="1" x14ac:dyDescent="0.15">
      <c r="F20" s="16"/>
      <c r="K20" s="16"/>
      <c r="O20" s="16" t="s">
        <v>25</v>
      </c>
      <c r="AF20" s="17"/>
    </row>
    <row r="21" spans="6:32" ht="11.25" customHeight="1" x14ac:dyDescent="0.15">
      <c r="F21" s="16"/>
      <c r="K21" s="16"/>
      <c r="O21" s="16" t="s">
        <v>227</v>
      </c>
      <c r="AF21" s="17"/>
    </row>
    <row r="22" spans="6:32" ht="11.25" customHeight="1" x14ac:dyDescent="0.15">
      <c r="F22" s="16"/>
      <c r="K22" s="16"/>
      <c r="O22" s="16" t="s">
        <v>228</v>
      </c>
      <c r="AF22" s="17"/>
    </row>
    <row r="23" spans="6:32" ht="11.25" customHeight="1" x14ac:dyDescent="0.15">
      <c r="F23" s="19" t="s">
        <v>26</v>
      </c>
      <c r="G23" s="20"/>
      <c r="H23" s="20"/>
      <c r="I23" s="20"/>
      <c r="J23" s="20"/>
      <c r="K23" s="19" t="s">
        <v>27</v>
      </c>
      <c r="L23" s="20"/>
      <c r="M23" s="20"/>
      <c r="N23" s="20"/>
      <c r="O23" s="19" t="s">
        <v>28</v>
      </c>
      <c r="P23" s="20"/>
      <c r="Q23" s="20"/>
      <c r="R23" s="20"/>
      <c r="S23" s="20"/>
      <c r="T23" s="20"/>
      <c r="U23" s="20"/>
      <c r="V23" s="20"/>
      <c r="W23" s="20"/>
      <c r="X23" s="20"/>
      <c r="Y23" s="20"/>
      <c r="Z23" s="20"/>
      <c r="AA23" s="20"/>
      <c r="AB23" s="20"/>
      <c r="AC23" s="20"/>
      <c r="AD23" s="20"/>
      <c r="AE23" s="20"/>
      <c r="AF23" s="21"/>
    </row>
    <row r="24" spans="6:32" ht="11.25" customHeight="1" x14ac:dyDescent="0.15">
      <c r="F24" s="16"/>
      <c r="K24" s="16"/>
      <c r="O24" s="16" t="s">
        <v>29</v>
      </c>
      <c r="AF24" s="17"/>
    </row>
    <row r="25" spans="6:32" ht="11.25" customHeight="1" x14ac:dyDescent="0.15">
      <c r="F25" s="16"/>
      <c r="K25" s="16"/>
      <c r="O25" s="16" t="s">
        <v>30</v>
      </c>
      <c r="AF25" s="17"/>
    </row>
    <row r="26" spans="6:32" ht="11.25" customHeight="1" x14ac:dyDescent="0.15">
      <c r="F26" s="16"/>
      <c r="K26" s="16"/>
      <c r="O26" s="16" t="s">
        <v>31</v>
      </c>
      <c r="AF26" s="17"/>
    </row>
    <row r="27" spans="6:32" ht="11.25" customHeight="1" x14ac:dyDescent="0.15">
      <c r="F27" s="19" t="s">
        <v>32</v>
      </c>
      <c r="G27" s="20"/>
      <c r="H27" s="20"/>
      <c r="I27" s="20"/>
      <c r="J27" s="21"/>
      <c r="K27" s="19" t="s">
        <v>33</v>
      </c>
      <c r="L27" s="20"/>
      <c r="M27" s="20"/>
      <c r="N27" s="21"/>
      <c r="O27" s="19" t="s">
        <v>34</v>
      </c>
      <c r="P27" s="20"/>
      <c r="Q27" s="20"/>
      <c r="R27" s="20"/>
      <c r="S27" s="20"/>
      <c r="T27" s="20"/>
      <c r="U27" s="20"/>
      <c r="V27" s="20"/>
      <c r="W27" s="20"/>
      <c r="X27" s="20"/>
      <c r="Y27" s="20"/>
      <c r="Z27" s="20"/>
      <c r="AA27" s="20"/>
      <c r="AB27" s="20"/>
      <c r="AC27" s="20"/>
      <c r="AD27" s="20"/>
      <c r="AE27" s="20"/>
      <c r="AF27" s="21"/>
    </row>
    <row r="28" spans="6:32" ht="11.25" customHeight="1" x14ac:dyDescent="0.15">
      <c r="F28" s="16" t="s">
        <v>35</v>
      </c>
      <c r="J28" s="17"/>
      <c r="K28" s="16" t="s">
        <v>36</v>
      </c>
      <c r="N28" s="17"/>
      <c r="O28" s="16" t="s">
        <v>37</v>
      </c>
      <c r="AF28" s="17"/>
    </row>
    <row r="29" spans="6:32" ht="11.25" customHeight="1" x14ac:dyDescent="0.15">
      <c r="F29" s="22"/>
      <c r="G29" s="23"/>
      <c r="H29" s="23"/>
      <c r="I29" s="23"/>
      <c r="J29" s="24"/>
      <c r="K29" s="22"/>
      <c r="L29" s="23"/>
      <c r="M29" s="23"/>
      <c r="N29" s="24"/>
      <c r="O29" s="22" t="s">
        <v>38</v>
      </c>
      <c r="P29" s="23"/>
      <c r="Q29" s="23"/>
      <c r="R29" s="23"/>
      <c r="S29" s="23"/>
      <c r="T29" s="23"/>
      <c r="U29" s="23"/>
      <c r="V29" s="23"/>
      <c r="W29" s="23"/>
      <c r="X29" s="23"/>
      <c r="Y29" s="23"/>
      <c r="Z29" s="23"/>
      <c r="AA29" s="23"/>
      <c r="AB29" s="23"/>
      <c r="AC29" s="23"/>
      <c r="AD29" s="23"/>
      <c r="AE29" s="23"/>
      <c r="AF29" s="24"/>
    </row>
    <row r="30" spans="6:32" ht="11.25" customHeight="1" x14ac:dyDescent="0.15"/>
    <row r="31" spans="6:32" ht="11.25" customHeight="1" x14ac:dyDescent="0.15"/>
    <row r="32" spans="6:32" ht="11.25" customHeight="1" x14ac:dyDescent="0.15"/>
    <row r="33" spans="36:36" ht="11.25" customHeight="1" x14ac:dyDescent="0.15"/>
    <row r="34" spans="36:36" ht="11.25" customHeight="1" x14ac:dyDescent="0.15"/>
    <row r="35" spans="36:36" ht="11.25" customHeight="1" x14ac:dyDescent="0.15"/>
    <row r="36" spans="36:36" ht="11.25" customHeight="1" x14ac:dyDescent="0.15">
      <c r="AJ36" s="18"/>
    </row>
    <row r="37" spans="36:36" ht="11.25" customHeight="1" x14ac:dyDescent="0.15"/>
    <row r="38" spans="36:36" ht="11.25" customHeight="1" x14ac:dyDescent="0.15"/>
    <row r="39" spans="36:36" ht="11.25" customHeight="1" x14ac:dyDescent="0.15"/>
    <row r="40" spans="36:36" ht="11.25" customHeight="1" x14ac:dyDescent="0.15"/>
    <row r="41" spans="36:36" ht="11.25" customHeight="1" x14ac:dyDescent="0.15"/>
    <row r="42" spans="36:36" ht="11.25" customHeight="1" x14ac:dyDescent="0.15"/>
    <row r="43" spans="36:36" ht="11.25" customHeight="1" x14ac:dyDescent="0.15"/>
    <row r="44" spans="36:36" ht="11.25" customHeight="1" x14ac:dyDescent="0.15"/>
    <row r="45" spans="36:36" ht="11.25" customHeight="1" x14ac:dyDescent="0.15"/>
    <row r="46" spans="36:36" ht="11.25" customHeight="1" x14ac:dyDescent="0.15"/>
    <row r="47" spans="36:36" ht="11.25" customHeight="1" x14ac:dyDescent="0.15"/>
    <row r="48" spans="36:36" ht="11.25" customHeight="1" x14ac:dyDescent="0.15"/>
    <row r="49" spans="5:7" ht="11.25" customHeight="1" x14ac:dyDescent="0.15"/>
    <row r="50" spans="5:7" ht="11.25" customHeight="1" x14ac:dyDescent="0.15"/>
    <row r="51" spans="5:7" ht="11.25" customHeight="1" x14ac:dyDescent="0.15"/>
    <row r="52" spans="5:7" ht="11.25" customHeight="1" x14ac:dyDescent="0.15"/>
    <row r="53" spans="5:7" ht="11.25" customHeight="1" x14ac:dyDescent="0.15"/>
    <row r="54" spans="5:7" ht="11.25" customHeight="1" x14ac:dyDescent="0.15"/>
    <row r="55" spans="5:7" ht="11.25" customHeight="1" x14ac:dyDescent="0.15">
      <c r="F55" s="4" t="s">
        <v>39</v>
      </c>
    </row>
    <row r="56" spans="5:7" ht="11.25" customHeight="1" x14ac:dyDescent="0.15">
      <c r="G56" s="4" t="s">
        <v>40</v>
      </c>
    </row>
    <row r="57" spans="5:7" ht="11.25" customHeight="1" x14ac:dyDescent="0.15">
      <c r="G57" s="4" t="s">
        <v>41</v>
      </c>
    </row>
    <row r="58" spans="5:7" ht="11.25" customHeight="1" x14ac:dyDescent="0.15"/>
    <row r="59" spans="5:7" ht="11.25" customHeight="1" x14ac:dyDescent="0.15">
      <c r="E59" s="15" t="str">
        <f>$D$13&amp;"2."</f>
        <v>4.1.2.2.</v>
      </c>
      <c r="F59" s="4" t="s">
        <v>42</v>
      </c>
    </row>
    <row r="60" spans="5:7" ht="11.25" customHeight="1" x14ac:dyDescent="0.15">
      <c r="E60" s="15"/>
      <c r="F60" s="4" t="s">
        <v>43</v>
      </c>
    </row>
    <row r="61" spans="5:7" ht="11.25" customHeight="1" x14ac:dyDescent="0.15">
      <c r="E61" s="15"/>
    </row>
    <row r="62" spans="5:7" ht="11.25" customHeight="1" x14ac:dyDescent="0.15">
      <c r="E62" s="15"/>
      <c r="F62" s="4" t="s">
        <v>44</v>
      </c>
    </row>
    <row r="63" spans="5:7" ht="11.25" customHeight="1" x14ac:dyDescent="0.15">
      <c r="E63" s="15"/>
      <c r="F63" s="4" t="s">
        <v>45</v>
      </c>
    </row>
    <row r="64" spans="5:7" ht="11.25" customHeight="1" x14ac:dyDescent="0.15">
      <c r="E64" s="15"/>
      <c r="F64" s="4" t="s">
        <v>46</v>
      </c>
    </row>
    <row r="65" spans="4:6" ht="11.25" customHeight="1" x14ac:dyDescent="0.15">
      <c r="E65" s="15"/>
      <c r="F65" s="4" t="s">
        <v>47</v>
      </c>
    </row>
    <row r="66" spans="4:6" ht="11.25" customHeight="1" x14ac:dyDescent="0.15">
      <c r="E66" s="15"/>
      <c r="F66" s="4" t="s">
        <v>48</v>
      </c>
    </row>
    <row r="67" spans="4:6" ht="11.25" customHeight="1" x14ac:dyDescent="0.15">
      <c r="E67" s="15"/>
      <c r="F67" s="4" t="s">
        <v>49</v>
      </c>
    </row>
    <row r="68" spans="4:6" ht="11.25" customHeight="1" x14ac:dyDescent="0.15">
      <c r="E68" s="15"/>
    </row>
    <row r="69" spans="4:6" ht="11.25" customHeight="1" x14ac:dyDescent="0.15">
      <c r="E69" s="15"/>
      <c r="F69" s="4" t="s">
        <v>50</v>
      </c>
    </row>
    <row r="70" spans="4:6" ht="11.25" customHeight="1" x14ac:dyDescent="0.15">
      <c r="E70" s="15"/>
      <c r="F70" s="4" t="s">
        <v>51</v>
      </c>
    </row>
    <row r="71" spans="4:6" ht="11.25" customHeight="1" x14ac:dyDescent="0.15">
      <c r="E71" s="15"/>
    </row>
    <row r="72" spans="4:6" ht="11.25" customHeight="1" x14ac:dyDescent="0.15">
      <c r="E72" s="15"/>
      <c r="F72" s="4" t="s">
        <v>52</v>
      </c>
    </row>
    <row r="73" spans="4:6" ht="11.25" customHeight="1" x14ac:dyDescent="0.15">
      <c r="F73" s="4" t="s">
        <v>53</v>
      </c>
    </row>
    <row r="74" spans="4:6" ht="11.25" customHeight="1" x14ac:dyDescent="0.15"/>
    <row r="75" spans="4:6" ht="11.25" customHeight="1" x14ac:dyDescent="0.15">
      <c r="F75" s="4" t="s">
        <v>54</v>
      </c>
    </row>
    <row r="76" spans="4:6" ht="11.25" customHeight="1" x14ac:dyDescent="0.15">
      <c r="F76" s="4" t="s">
        <v>55</v>
      </c>
    </row>
    <row r="77" spans="4:6" ht="11.25" customHeight="1" x14ac:dyDescent="0.15"/>
    <row r="78" spans="4:6" ht="11.25" customHeight="1" x14ac:dyDescent="0.15">
      <c r="D78" s="15" t="str">
        <f>$C$7&amp;"3."</f>
        <v>4.1.3.</v>
      </c>
      <c r="E78" s="4" t="s">
        <v>56</v>
      </c>
    </row>
    <row r="79" spans="4:6" ht="11.25" customHeight="1" x14ac:dyDescent="0.15">
      <c r="E79" s="4" t="s">
        <v>57</v>
      </c>
    </row>
    <row r="80" spans="4:6" ht="11.25" customHeight="1" x14ac:dyDescent="0.15">
      <c r="E80" s="4" t="s">
        <v>58</v>
      </c>
    </row>
    <row r="81" spans="5:34" ht="11.25" customHeight="1" x14ac:dyDescent="0.15"/>
    <row r="82" spans="5:34" ht="11.25" customHeight="1" x14ac:dyDescent="0.15">
      <c r="E82" s="72" t="s">
        <v>22</v>
      </c>
      <c r="F82" s="72"/>
      <c r="G82" s="72"/>
      <c r="H82" s="72"/>
      <c r="I82" s="72"/>
      <c r="J82" s="72"/>
      <c r="K82" s="72"/>
      <c r="L82" s="72" t="s">
        <v>59</v>
      </c>
      <c r="M82" s="72"/>
      <c r="N82" s="72"/>
      <c r="O82" s="72"/>
      <c r="P82" s="72"/>
      <c r="Q82" s="72"/>
      <c r="R82" s="72"/>
      <c r="S82" s="72" t="s">
        <v>27</v>
      </c>
      <c r="T82" s="72"/>
      <c r="U82" s="72"/>
      <c r="V82" s="72"/>
      <c r="W82" s="72"/>
      <c r="X82" s="72"/>
      <c r="Y82" s="72"/>
      <c r="Z82" s="72"/>
      <c r="AA82" s="71" t="s">
        <v>60</v>
      </c>
      <c r="AB82" s="71"/>
      <c r="AC82" s="71"/>
      <c r="AD82" s="71"/>
      <c r="AE82" s="71"/>
      <c r="AF82" s="71"/>
      <c r="AG82" s="71"/>
      <c r="AH82" s="71"/>
    </row>
    <row r="83" spans="5:34" ht="11.25" customHeight="1" x14ac:dyDescent="0.15">
      <c r="E83" s="19"/>
      <c r="F83" s="20"/>
      <c r="G83" s="20"/>
      <c r="H83" s="20"/>
      <c r="I83" s="20"/>
      <c r="J83" s="20"/>
      <c r="K83" s="21"/>
      <c r="L83" s="19"/>
      <c r="M83" s="20"/>
      <c r="N83" s="20"/>
      <c r="O83" s="20"/>
      <c r="P83" s="20"/>
      <c r="Q83" s="20"/>
      <c r="R83" s="21"/>
      <c r="S83" s="19"/>
      <c r="T83" s="20"/>
      <c r="U83" s="20"/>
      <c r="V83" s="20"/>
      <c r="W83" s="20"/>
      <c r="X83" s="20"/>
      <c r="Y83" s="20"/>
      <c r="Z83" s="20"/>
      <c r="AA83" s="19"/>
      <c r="AB83" s="20"/>
      <c r="AC83" s="20"/>
      <c r="AD83" s="20"/>
      <c r="AE83" s="20"/>
      <c r="AF83" s="20"/>
      <c r="AG83" s="20"/>
      <c r="AH83" s="21"/>
    </row>
    <row r="84" spans="5:34" ht="11.25" customHeight="1" x14ac:dyDescent="0.15">
      <c r="E84" s="16"/>
      <c r="K84" s="17"/>
      <c r="L84" s="16"/>
      <c r="R84" s="17"/>
      <c r="S84" s="16"/>
      <c r="AA84" s="16"/>
      <c r="AH84" s="17"/>
    </row>
    <row r="85" spans="5:34" ht="11.25" customHeight="1" x14ac:dyDescent="0.15">
      <c r="E85" s="16"/>
      <c r="K85" s="17"/>
      <c r="L85" s="16"/>
      <c r="R85" s="17"/>
      <c r="S85" s="16"/>
      <c r="AA85" s="16"/>
      <c r="AH85" s="17"/>
    </row>
    <row r="86" spans="5:34" ht="11.25" customHeight="1" x14ac:dyDescent="0.15">
      <c r="E86" s="16"/>
      <c r="K86" s="17"/>
      <c r="L86" s="16"/>
      <c r="R86" s="17"/>
      <c r="S86" s="16"/>
      <c r="AA86" s="16"/>
      <c r="AH86" s="17"/>
    </row>
    <row r="87" spans="5:34" ht="11.25" customHeight="1" x14ac:dyDescent="0.15">
      <c r="E87" s="16"/>
      <c r="K87" s="17"/>
      <c r="L87" s="16"/>
      <c r="R87" s="17"/>
      <c r="S87" s="16"/>
      <c r="AA87" s="16"/>
      <c r="AH87" s="17"/>
    </row>
    <row r="88" spans="5:34" ht="11.25" customHeight="1" x14ac:dyDescent="0.15">
      <c r="E88" s="16"/>
      <c r="K88" s="17"/>
      <c r="L88" s="16"/>
      <c r="R88" s="17"/>
      <c r="S88" s="16"/>
      <c r="AA88" s="16"/>
      <c r="AH88" s="17"/>
    </row>
    <row r="89" spans="5:34" ht="11.25" customHeight="1" x14ac:dyDescent="0.15">
      <c r="E89" s="16"/>
      <c r="K89" s="17"/>
      <c r="L89" s="16"/>
      <c r="R89" s="17"/>
      <c r="S89" s="16"/>
      <c r="AA89" s="16"/>
      <c r="AH89" s="17"/>
    </row>
    <row r="90" spans="5:34" ht="11.25" customHeight="1" x14ac:dyDescent="0.15">
      <c r="E90" s="16"/>
      <c r="K90" s="17"/>
      <c r="L90" s="16"/>
      <c r="R90" s="17"/>
      <c r="S90" s="16"/>
      <c r="AA90" s="16"/>
      <c r="AH90" s="17"/>
    </row>
    <row r="91" spans="5:34" ht="11.25" customHeight="1" x14ac:dyDescent="0.15">
      <c r="E91" s="16"/>
      <c r="K91" s="17"/>
      <c r="L91" s="16"/>
      <c r="R91" s="17"/>
      <c r="S91" s="16"/>
      <c r="AA91" s="16"/>
      <c r="AH91" s="17"/>
    </row>
    <row r="92" spans="5:34" ht="11.25" customHeight="1" x14ac:dyDescent="0.15">
      <c r="E92" s="16"/>
      <c r="K92" s="17"/>
      <c r="L92" s="16"/>
      <c r="R92" s="17"/>
      <c r="S92" s="16"/>
      <c r="AA92" s="16"/>
      <c r="AH92" s="17"/>
    </row>
    <row r="93" spans="5:34" ht="11.25" customHeight="1" x14ac:dyDescent="0.15">
      <c r="E93" s="16"/>
      <c r="K93" s="17"/>
      <c r="L93" s="16"/>
      <c r="R93" s="17"/>
      <c r="S93" s="16"/>
      <c r="AA93" s="16"/>
      <c r="AH93" s="17"/>
    </row>
    <row r="94" spans="5:34" ht="11.25" customHeight="1" x14ac:dyDescent="0.15">
      <c r="E94" s="16"/>
      <c r="K94" s="17"/>
      <c r="L94" s="16"/>
      <c r="R94" s="17"/>
      <c r="S94" s="16"/>
      <c r="AA94" s="16"/>
      <c r="AH94" s="17"/>
    </row>
    <row r="95" spans="5:34" ht="11.25" customHeight="1" x14ac:dyDescent="0.15">
      <c r="E95" s="16"/>
      <c r="K95" s="17"/>
      <c r="L95" s="16"/>
      <c r="R95" s="17"/>
      <c r="S95" s="16"/>
      <c r="AA95" s="16"/>
      <c r="AH95" s="17"/>
    </row>
    <row r="96" spans="5:34" ht="11.25" customHeight="1" x14ac:dyDescent="0.15">
      <c r="E96" s="16"/>
      <c r="K96" s="17"/>
      <c r="L96" s="16"/>
      <c r="R96" s="17"/>
      <c r="S96" s="16"/>
      <c r="AA96" s="16"/>
      <c r="AH96" s="17"/>
    </row>
    <row r="97" spans="5:34" ht="11.25" customHeight="1" x14ac:dyDescent="0.15">
      <c r="E97" s="16"/>
      <c r="K97" s="17"/>
      <c r="L97" s="16"/>
      <c r="R97" s="17"/>
      <c r="S97" s="16"/>
      <c r="AA97" s="16"/>
      <c r="AH97" s="17"/>
    </row>
    <row r="98" spans="5:34" ht="11.25" customHeight="1" x14ac:dyDescent="0.15">
      <c r="E98" s="16"/>
      <c r="K98" s="17"/>
      <c r="L98" s="16"/>
      <c r="R98" s="17"/>
      <c r="S98" s="16"/>
      <c r="AA98" s="16"/>
      <c r="AH98" s="17"/>
    </row>
    <row r="99" spans="5:34" ht="11.25" customHeight="1" x14ac:dyDescent="0.15">
      <c r="E99" s="16"/>
      <c r="K99" s="17"/>
      <c r="L99" s="16"/>
      <c r="R99" s="17"/>
      <c r="S99" s="16"/>
      <c r="AA99" s="16"/>
      <c r="AH99" s="17"/>
    </row>
    <row r="100" spans="5:34" ht="11.25" customHeight="1" x14ac:dyDescent="0.15">
      <c r="E100" s="16"/>
      <c r="K100" s="17"/>
      <c r="L100" s="16"/>
      <c r="R100" s="17"/>
      <c r="S100" s="16"/>
      <c r="AA100" s="16"/>
      <c r="AH100" s="17"/>
    </row>
    <row r="101" spans="5:34" ht="11.25" customHeight="1" x14ac:dyDescent="0.15">
      <c r="E101" s="16"/>
      <c r="K101" s="17"/>
      <c r="L101" s="16"/>
      <c r="R101" s="17"/>
      <c r="S101" s="16"/>
      <c r="AA101" s="16"/>
      <c r="AH101" s="17"/>
    </row>
    <row r="102" spans="5:34" ht="11.25" customHeight="1" x14ac:dyDescent="0.15">
      <c r="E102" s="16"/>
      <c r="K102" s="17"/>
      <c r="L102" s="16"/>
      <c r="R102" s="17"/>
      <c r="S102" s="16"/>
      <c r="AA102" s="16"/>
      <c r="AH102" s="17"/>
    </row>
    <row r="103" spans="5:34" ht="11.25" customHeight="1" x14ac:dyDescent="0.15">
      <c r="E103" s="16"/>
      <c r="K103" s="17"/>
      <c r="L103" s="16"/>
      <c r="R103" s="17"/>
      <c r="S103" s="16"/>
      <c r="AA103" s="16"/>
      <c r="AH103" s="17"/>
    </row>
    <row r="104" spans="5:34" ht="11.25" customHeight="1" x14ac:dyDescent="0.15">
      <c r="E104" s="16"/>
      <c r="K104" s="17"/>
      <c r="L104" s="16"/>
      <c r="R104" s="17"/>
      <c r="S104" s="16"/>
      <c r="AA104" s="16"/>
      <c r="AH104" s="17"/>
    </row>
    <row r="105" spans="5:34" ht="11.25" customHeight="1" x14ac:dyDescent="0.15">
      <c r="E105" s="16"/>
      <c r="K105" s="17"/>
      <c r="L105" s="16"/>
      <c r="R105" s="17"/>
      <c r="S105" s="16"/>
      <c r="AA105" s="16"/>
      <c r="AH105" s="17"/>
    </row>
    <row r="106" spans="5:34" ht="11.25" customHeight="1" x14ac:dyDescent="0.15">
      <c r="E106" s="16"/>
      <c r="K106" s="17"/>
      <c r="L106" s="16"/>
      <c r="R106" s="17"/>
      <c r="S106" s="16"/>
      <c r="AA106" s="16"/>
      <c r="AH106" s="17"/>
    </row>
    <row r="107" spans="5:34" ht="11.25" customHeight="1" x14ac:dyDescent="0.15">
      <c r="E107" s="16"/>
      <c r="K107" s="17"/>
      <c r="L107" s="16"/>
      <c r="R107" s="17"/>
      <c r="S107" s="16"/>
      <c r="AA107" s="16"/>
      <c r="AH107" s="17"/>
    </row>
    <row r="108" spans="5:34" ht="11.25" customHeight="1" x14ac:dyDescent="0.15">
      <c r="E108" s="16"/>
      <c r="K108" s="17"/>
      <c r="L108" s="16"/>
      <c r="R108" s="17"/>
      <c r="S108" s="16"/>
      <c r="AA108" s="16"/>
      <c r="AH108" s="17"/>
    </row>
    <row r="109" spans="5:34" ht="11.25" customHeight="1" x14ac:dyDescent="0.15">
      <c r="E109" s="16"/>
      <c r="K109" s="17"/>
      <c r="L109" s="16"/>
      <c r="R109" s="17"/>
      <c r="S109" s="16"/>
      <c r="AA109" s="16"/>
      <c r="AH109" s="17"/>
    </row>
    <row r="110" spans="5:34" ht="11.25" customHeight="1" x14ac:dyDescent="0.15">
      <c r="E110" s="16"/>
      <c r="K110" s="17"/>
      <c r="L110" s="16"/>
      <c r="R110" s="17"/>
      <c r="S110" s="16"/>
      <c r="AA110" s="16"/>
      <c r="AH110" s="17"/>
    </row>
    <row r="111" spans="5:34" ht="11.25" customHeight="1" x14ac:dyDescent="0.15">
      <c r="E111" s="16"/>
      <c r="K111" s="17"/>
      <c r="L111" s="16"/>
      <c r="R111" s="17"/>
      <c r="S111" s="16"/>
      <c r="AA111" s="16"/>
      <c r="AH111" s="17"/>
    </row>
    <row r="112" spans="5:34" ht="11.25" customHeight="1" x14ac:dyDescent="0.15">
      <c r="E112" s="16"/>
      <c r="K112" s="17"/>
      <c r="L112" s="16"/>
      <c r="R112" s="17"/>
      <c r="S112" s="16"/>
      <c r="AA112" s="16"/>
      <c r="AH112" s="17"/>
    </row>
    <row r="113" spans="5:34" ht="11.25" customHeight="1" x14ac:dyDescent="0.15">
      <c r="E113" s="16"/>
      <c r="K113" s="17"/>
      <c r="L113" s="16"/>
      <c r="R113" s="17"/>
      <c r="S113" s="16"/>
      <c r="AA113" s="16"/>
      <c r="AH113" s="17"/>
    </row>
    <row r="114" spans="5:34" ht="11.25" customHeight="1" x14ac:dyDescent="0.15">
      <c r="E114" s="16"/>
      <c r="K114" s="17"/>
      <c r="L114" s="16"/>
      <c r="R114" s="17"/>
      <c r="S114" s="16"/>
      <c r="AA114" s="16"/>
      <c r="AH114" s="17"/>
    </row>
    <row r="115" spans="5:34" ht="11.25" customHeight="1" x14ac:dyDescent="0.15">
      <c r="E115" s="16"/>
      <c r="K115" s="17"/>
      <c r="L115" s="16"/>
      <c r="R115" s="17"/>
      <c r="S115" s="16"/>
      <c r="AA115" s="16"/>
      <c r="AH115" s="17"/>
    </row>
    <row r="116" spans="5:34" ht="11.25" customHeight="1" x14ac:dyDescent="0.15">
      <c r="E116" s="16"/>
      <c r="K116" s="17"/>
      <c r="L116" s="16"/>
      <c r="R116" s="17"/>
      <c r="S116" s="16"/>
      <c r="AA116" s="16"/>
      <c r="AH116" s="17"/>
    </row>
    <row r="117" spans="5:34" ht="11.25" customHeight="1" x14ac:dyDescent="0.15">
      <c r="E117" s="16"/>
      <c r="K117" s="17"/>
      <c r="L117" s="16"/>
      <c r="R117" s="17"/>
      <c r="S117" s="16"/>
      <c r="AA117" s="16"/>
      <c r="AH117" s="17"/>
    </row>
    <row r="118" spans="5:34" ht="11.25" customHeight="1" x14ac:dyDescent="0.15">
      <c r="E118" s="16"/>
      <c r="K118" s="17"/>
      <c r="L118" s="16"/>
      <c r="R118" s="17"/>
      <c r="S118" s="16"/>
      <c r="AA118" s="16"/>
      <c r="AH118" s="17"/>
    </row>
    <row r="119" spans="5:34" ht="11.25" customHeight="1" x14ac:dyDescent="0.15">
      <c r="E119" s="16"/>
      <c r="K119" s="17"/>
      <c r="L119" s="16"/>
      <c r="R119" s="17"/>
      <c r="S119" s="16"/>
      <c r="AA119" s="16"/>
      <c r="AH119" s="17"/>
    </row>
    <row r="120" spans="5:34" ht="11.25" customHeight="1" x14ac:dyDescent="0.15">
      <c r="E120" s="16"/>
      <c r="K120" s="17"/>
      <c r="L120" s="16"/>
      <c r="R120" s="17"/>
      <c r="S120" s="16"/>
      <c r="AA120" s="16"/>
      <c r="AH120" s="17"/>
    </row>
    <row r="121" spans="5:34" ht="11.25" customHeight="1" x14ac:dyDescent="0.15">
      <c r="E121" s="16"/>
      <c r="K121" s="17"/>
      <c r="L121" s="16"/>
      <c r="R121" s="17"/>
      <c r="S121" s="16"/>
      <c r="AA121" s="16"/>
      <c r="AH121" s="17"/>
    </row>
    <row r="122" spans="5:34" ht="11.25" customHeight="1" x14ac:dyDescent="0.15">
      <c r="E122" s="16"/>
      <c r="K122" s="17"/>
      <c r="L122" s="16"/>
      <c r="R122" s="17"/>
      <c r="S122" s="16"/>
      <c r="AA122" s="16"/>
      <c r="AH122" s="17"/>
    </row>
    <row r="123" spans="5:34" ht="11.25" customHeight="1" x14ac:dyDescent="0.15">
      <c r="E123" s="16"/>
      <c r="K123" s="17"/>
      <c r="L123" s="16"/>
      <c r="R123" s="17"/>
      <c r="S123" s="16"/>
      <c r="AA123" s="16"/>
      <c r="AH123" s="17"/>
    </row>
    <row r="124" spans="5:34" ht="11.25" customHeight="1" x14ac:dyDescent="0.15">
      <c r="E124" s="16"/>
      <c r="K124" s="17"/>
      <c r="L124" s="16"/>
      <c r="R124" s="17"/>
      <c r="S124" s="16"/>
      <c r="AA124" s="16"/>
      <c r="AH124" s="17"/>
    </row>
    <row r="125" spans="5:34" ht="11.25" customHeight="1" x14ac:dyDescent="0.15">
      <c r="E125" s="16"/>
      <c r="K125" s="17"/>
      <c r="L125" s="16"/>
      <c r="R125" s="17"/>
      <c r="S125" s="16"/>
      <c r="AA125" s="16"/>
      <c r="AH125" s="17"/>
    </row>
    <row r="126" spans="5:34" ht="11.25" customHeight="1" x14ac:dyDescent="0.15">
      <c r="E126" s="16"/>
      <c r="K126" s="17"/>
      <c r="L126" s="16"/>
      <c r="R126" s="17"/>
      <c r="S126" s="16"/>
      <c r="AA126" s="16"/>
      <c r="AH126" s="17"/>
    </row>
    <row r="127" spans="5:34" ht="11.25" customHeight="1" x14ac:dyDescent="0.15">
      <c r="E127" s="16"/>
      <c r="K127" s="17"/>
      <c r="L127" s="16"/>
      <c r="R127" s="17"/>
      <c r="S127" s="16"/>
      <c r="AA127" s="16"/>
      <c r="AH127" s="17"/>
    </row>
    <row r="128" spans="5:34" ht="11.25" customHeight="1" x14ac:dyDescent="0.15">
      <c r="E128" s="16"/>
      <c r="K128" s="17"/>
      <c r="L128" s="16"/>
      <c r="R128" s="17"/>
      <c r="S128" s="16"/>
      <c r="AA128" s="16"/>
      <c r="AH128" s="17"/>
    </row>
    <row r="129" spans="5:34" ht="11.25" customHeight="1" x14ac:dyDescent="0.15">
      <c r="E129" s="16"/>
      <c r="K129" s="17"/>
      <c r="L129" s="16"/>
      <c r="R129" s="17"/>
      <c r="S129" s="16"/>
      <c r="AA129" s="16"/>
      <c r="AH129" s="17"/>
    </row>
    <row r="130" spans="5:34" ht="11.25" customHeight="1" x14ac:dyDescent="0.15">
      <c r="E130" s="16"/>
      <c r="K130" s="17"/>
      <c r="L130" s="16"/>
      <c r="R130" s="17"/>
      <c r="S130" s="16"/>
      <c r="AA130" s="16"/>
      <c r="AH130" s="17"/>
    </row>
    <row r="131" spans="5:34" ht="11.25" customHeight="1" x14ac:dyDescent="0.15">
      <c r="E131" s="16"/>
      <c r="K131" s="17"/>
      <c r="L131" s="16"/>
      <c r="R131" s="17"/>
      <c r="S131" s="16"/>
      <c r="AA131" s="16"/>
      <c r="AH131" s="17"/>
    </row>
    <row r="132" spans="5:34" ht="11.25" customHeight="1" x14ac:dyDescent="0.15">
      <c r="E132" s="16"/>
      <c r="K132" s="17"/>
      <c r="L132" s="16"/>
      <c r="R132" s="17"/>
      <c r="S132" s="16"/>
      <c r="AA132" s="16"/>
      <c r="AH132" s="17"/>
    </row>
    <row r="133" spans="5:34" ht="11.25" customHeight="1" x14ac:dyDescent="0.15">
      <c r="E133" s="16"/>
      <c r="K133" s="17"/>
      <c r="L133" s="16"/>
      <c r="R133" s="17"/>
      <c r="S133" s="16"/>
      <c r="AA133" s="16"/>
      <c r="AH133" s="17"/>
    </row>
    <row r="134" spans="5:34" ht="11.25" customHeight="1" x14ac:dyDescent="0.15">
      <c r="E134" s="16"/>
      <c r="K134" s="17"/>
      <c r="L134" s="16"/>
      <c r="R134" s="17"/>
      <c r="S134" s="16"/>
      <c r="AA134" s="16"/>
      <c r="AH134" s="17"/>
    </row>
    <row r="135" spans="5:34" ht="11.25" customHeight="1" x14ac:dyDescent="0.15">
      <c r="E135" s="16"/>
      <c r="K135" s="17"/>
      <c r="L135" s="16"/>
      <c r="R135" s="17"/>
      <c r="S135" s="16"/>
      <c r="AA135" s="16"/>
      <c r="AH135" s="17"/>
    </row>
    <row r="136" spans="5:34" ht="11.25" customHeight="1" x14ac:dyDescent="0.15">
      <c r="E136" s="16"/>
      <c r="K136" s="17"/>
      <c r="L136" s="16"/>
      <c r="R136" s="17"/>
      <c r="S136" s="16"/>
      <c r="AA136" s="16"/>
      <c r="AH136" s="17"/>
    </row>
    <row r="137" spans="5:34" ht="11.25" customHeight="1" x14ac:dyDescent="0.15">
      <c r="E137" s="16"/>
      <c r="K137" s="17"/>
      <c r="L137" s="16"/>
      <c r="R137" s="17"/>
      <c r="S137" s="16"/>
      <c r="AA137" s="16"/>
      <c r="AH137" s="17"/>
    </row>
    <row r="138" spans="5:34" ht="11.25" customHeight="1" x14ac:dyDescent="0.15">
      <c r="E138" s="16"/>
      <c r="K138" s="17"/>
      <c r="L138" s="16"/>
      <c r="R138" s="17"/>
      <c r="S138" s="16"/>
      <c r="AA138" s="16"/>
      <c r="AH138" s="17"/>
    </row>
    <row r="139" spans="5:34" ht="11.25" customHeight="1" x14ac:dyDescent="0.15">
      <c r="E139" s="16"/>
      <c r="K139" s="17"/>
      <c r="L139" s="16"/>
      <c r="R139" s="17"/>
      <c r="S139" s="16"/>
      <c r="AA139" s="16"/>
      <c r="AH139" s="17"/>
    </row>
    <row r="140" spans="5:34" ht="11.25" customHeight="1" x14ac:dyDescent="0.15">
      <c r="E140" s="16"/>
      <c r="K140" s="17"/>
      <c r="L140" s="16"/>
      <c r="R140" s="17"/>
      <c r="S140" s="16"/>
      <c r="AA140" s="16"/>
      <c r="AH140" s="17"/>
    </row>
    <row r="141" spans="5:34" ht="11.25" customHeight="1" x14ac:dyDescent="0.15">
      <c r="E141" s="16"/>
      <c r="K141" s="17"/>
      <c r="L141" s="16"/>
      <c r="R141" s="17"/>
      <c r="S141" s="16"/>
      <c r="AA141" s="16"/>
      <c r="AH141" s="17"/>
    </row>
    <row r="142" spans="5:34" ht="11.25" customHeight="1" x14ac:dyDescent="0.15">
      <c r="E142" s="16"/>
      <c r="K142" s="17"/>
      <c r="L142" s="16"/>
      <c r="R142" s="17"/>
      <c r="S142" s="16"/>
      <c r="AA142" s="16"/>
      <c r="AH142" s="17"/>
    </row>
    <row r="143" spans="5:34" ht="11.25" customHeight="1" x14ac:dyDescent="0.15">
      <c r="E143" s="16"/>
      <c r="K143" s="17"/>
      <c r="L143" s="16"/>
      <c r="R143" s="17"/>
      <c r="S143" s="16"/>
      <c r="AA143" s="16"/>
      <c r="AH143" s="17"/>
    </row>
    <row r="144" spans="5:34" ht="11.25" customHeight="1" x14ac:dyDescent="0.15">
      <c r="E144" s="16"/>
      <c r="K144" s="17"/>
      <c r="L144" s="16"/>
      <c r="R144" s="17"/>
      <c r="S144" s="16"/>
      <c r="AA144" s="16"/>
      <c r="AH144" s="17"/>
    </row>
    <row r="145" spans="5:34" ht="11.25" customHeight="1" x14ac:dyDescent="0.15">
      <c r="E145" s="16"/>
      <c r="K145" s="17"/>
      <c r="L145" s="16"/>
      <c r="R145" s="17"/>
      <c r="S145" s="16"/>
      <c r="AA145" s="16"/>
      <c r="AH145" s="17"/>
    </row>
    <row r="146" spans="5:34" ht="11.25" customHeight="1" x14ac:dyDescent="0.15">
      <c r="E146" s="22"/>
      <c r="F146" s="23"/>
      <c r="G146" s="23"/>
      <c r="H146" s="23"/>
      <c r="I146" s="23"/>
      <c r="J146" s="23"/>
      <c r="K146" s="24"/>
      <c r="L146" s="22"/>
      <c r="M146" s="23"/>
      <c r="N146" s="23"/>
      <c r="O146" s="23"/>
      <c r="P146" s="23"/>
      <c r="Q146" s="23"/>
      <c r="R146" s="24"/>
      <c r="S146" s="22"/>
      <c r="T146" s="23"/>
      <c r="U146" s="23"/>
      <c r="V146" s="23"/>
      <c r="W146" s="23"/>
      <c r="X146" s="23"/>
      <c r="Y146" s="23"/>
      <c r="Z146" s="23"/>
      <c r="AA146" s="22"/>
      <c r="AB146" s="23"/>
      <c r="AC146" s="23"/>
      <c r="AD146" s="23"/>
      <c r="AE146" s="23"/>
      <c r="AF146" s="23"/>
      <c r="AG146" s="23"/>
      <c r="AH146" s="24"/>
    </row>
    <row r="147" spans="5:34" ht="11.25" customHeight="1" x14ac:dyDescent="0.15"/>
    <row r="148" spans="5:34" ht="11.25" customHeight="1" x14ac:dyDescent="0.15">
      <c r="E148" s="4" t="s">
        <v>61</v>
      </c>
    </row>
    <row r="149" spans="5:34" ht="11.25" customHeight="1" x14ac:dyDescent="0.15">
      <c r="E149" s="4" t="s">
        <v>229</v>
      </c>
    </row>
    <row r="150" spans="5:34" ht="11.25" customHeight="1" x14ac:dyDescent="0.15">
      <c r="E150" s="4" t="s">
        <v>230</v>
      </c>
    </row>
    <row r="151" spans="5:34" ht="11.25" customHeight="1" x14ac:dyDescent="0.15"/>
    <row r="152" spans="5:34" ht="11.25" customHeight="1" x14ac:dyDescent="0.15">
      <c r="E152" s="37" t="str">
        <f>$D$78&amp;"1."</f>
        <v>4.1.3.1.</v>
      </c>
      <c r="F152" s="4" t="s">
        <v>62</v>
      </c>
    </row>
    <row r="153" spans="5:34" ht="11.25" customHeight="1" x14ac:dyDescent="0.15">
      <c r="F153" s="4" t="s">
        <v>63</v>
      </c>
    </row>
    <row r="154" spans="5:34" ht="11.25" customHeight="1" x14ac:dyDescent="0.15"/>
    <row r="155" spans="5:34" ht="11.25" customHeight="1" x14ac:dyDescent="0.15">
      <c r="F155" s="42" t="s">
        <v>64</v>
      </c>
      <c r="G155" s="43"/>
      <c r="H155" s="44"/>
      <c r="I155" s="42" t="s">
        <v>65</v>
      </c>
      <c r="J155" s="43"/>
      <c r="K155" s="43"/>
      <c r="L155" s="43"/>
      <c r="M155" s="43"/>
      <c r="N155" s="43"/>
      <c r="O155" s="43"/>
      <c r="P155" s="43"/>
      <c r="Q155" s="43"/>
      <c r="R155" s="43"/>
      <c r="S155" s="43"/>
      <c r="T155" s="43"/>
      <c r="U155" s="43"/>
      <c r="V155" s="43"/>
      <c r="W155" s="43"/>
      <c r="X155" s="43"/>
      <c r="Y155" s="43"/>
      <c r="Z155" s="43"/>
      <c r="AA155" s="43"/>
      <c r="AB155" s="44"/>
    </row>
    <row r="156" spans="5:34" ht="11.25" customHeight="1" x14ac:dyDescent="0.15">
      <c r="F156" s="19" t="s">
        <v>66</v>
      </c>
      <c r="G156" s="20"/>
      <c r="H156" s="21"/>
      <c r="I156" s="19" t="s">
        <v>67</v>
      </c>
      <c r="J156" s="20"/>
      <c r="K156" s="20"/>
      <c r="L156" s="20"/>
      <c r="M156" s="20"/>
      <c r="N156" s="20"/>
      <c r="O156" s="20"/>
      <c r="P156" s="20"/>
      <c r="Q156" s="20"/>
      <c r="R156" s="20"/>
      <c r="S156" s="20"/>
      <c r="T156" s="20"/>
      <c r="U156" s="20"/>
      <c r="V156" s="20"/>
      <c r="W156" s="20"/>
      <c r="X156" s="20"/>
      <c r="Y156" s="20"/>
      <c r="Z156" s="20"/>
      <c r="AA156" s="20"/>
      <c r="AB156" s="21"/>
    </row>
    <row r="157" spans="5:34" ht="11.25" customHeight="1" x14ac:dyDescent="0.15">
      <c r="F157" s="19" t="s">
        <v>68</v>
      </c>
      <c r="G157" s="20"/>
      <c r="H157" s="21"/>
      <c r="I157" s="19" t="s">
        <v>231</v>
      </c>
      <c r="J157" s="20"/>
      <c r="K157" s="20"/>
      <c r="L157" s="20"/>
      <c r="M157" s="20"/>
      <c r="N157" s="20"/>
      <c r="O157" s="20"/>
      <c r="P157" s="20"/>
      <c r="Q157" s="20"/>
      <c r="R157" s="20"/>
      <c r="S157" s="20"/>
      <c r="T157" s="20"/>
      <c r="U157" s="20"/>
      <c r="V157" s="20"/>
      <c r="W157" s="20"/>
      <c r="X157" s="20"/>
      <c r="Y157" s="20"/>
      <c r="Z157" s="20"/>
      <c r="AA157" s="20"/>
      <c r="AB157" s="21"/>
    </row>
    <row r="158" spans="5:34" ht="11.25" customHeight="1" x14ac:dyDescent="0.15">
      <c r="F158" s="22"/>
      <c r="G158" s="23"/>
      <c r="H158" s="24"/>
      <c r="I158" s="22" t="s">
        <v>232</v>
      </c>
      <c r="J158" s="23"/>
      <c r="K158" s="23"/>
      <c r="L158" s="23"/>
      <c r="M158" s="23"/>
      <c r="N158" s="23"/>
      <c r="O158" s="23"/>
      <c r="P158" s="23"/>
      <c r="Q158" s="23"/>
      <c r="R158" s="23"/>
      <c r="S158" s="23"/>
      <c r="T158" s="23"/>
      <c r="U158" s="23"/>
      <c r="V158" s="23"/>
      <c r="W158" s="23"/>
      <c r="X158" s="23"/>
      <c r="Y158" s="23"/>
      <c r="Z158" s="23"/>
      <c r="AA158" s="23"/>
      <c r="AB158" s="24"/>
    </row>
    <row r="159" spans="5:34" ht="11.25" customHeight="1" x14ac:dyDescent="0.15"/>
    <row r="160" spans="5:34" ht="11.25" customHeight="1" x14ac:dyDescent="0.15">
      <c r="F160" s="4" t="s">
        <v>69</v>
      </c>
    </row>
    <row r="161" spans="5:41" ht="11.25" customHeight="1" x14ac:dyDescent="0.15"/>
    <row r="162" spans="5:41" ht="11.25" customHeight="1" x14ac:dyDescent="0.15">
      <c r="E162" s="37" t="str">
        <f>$D$78&amp;"2."</f>
        <v>4.1.3.2.</v>
      </c>
      <c r="F162" s="4" t="s">
        <v>70</v>
      </c>
    </row>
    <row r="163" spans="5:41" ht="11.25" customHeight="1" x14ac:dyDescent="0.15">
      <c r="F163" s="4" t="s">
        <v>71</v>
      </c>
    </row>
    <row r="164" spans="5:41" ht="11.25" customHeight="1" x14ac:dyDescent="0.15"/>
    <row r="165" spans="5:41" ht="11.25" customHeight="1" x14ac:dyDescent="0.15">
      <c r="G165" s="38" t="s">
        <v>72</v>
      </c>
    </row>
    <row r="166" spans="5:41" ht="11.25" customHeight="1" x14ac:dyDescent="0.15"/>
    <row r="167" spans="5:41" ht="11.25" customHeight="1" x14ac:dyDescent="0.15">
      <c r="F167" s="4" t="s">
        <v>73</v>
      </c>
    </row>
    <row r="168" spans="5:41" ht="11.25" customHeight="1" x14ac:dyDescent="0.15">
      <c r="F168" s="4" t="s">
        <v>74</v>
      </c>
    </row>
    <row r="169" spans="5:41" ht="11.25" customHeight="1" x14ac:dyDescent="0.15">
      <c r="AO169" s="39"/>
    </row>
    <row r="170" spans="5:41" ht="11.25" customHeight="1" x14ac:dyDescent="0.15">
      <c r="G170" s="38" t="s">
        <v>75</v>
      </c>
      <c r="AO170" s="39"/>
    </row>
    <row r="171" spans="5:41" ht="11.25" customHeight="1" x14ac:dyDescent="0.15">
      <c r="AO171" s="39"/>
    </row>
    <row r="172" spans="5:41" ht="11.25" customHeight="1" x14ac:dyDescent="0.15">
      <c r="F172" s="4" t="s">
        <v>76</v>
      </c>
      <c r="AO172" s="39"/>
    </row>
    <row r="173" spans="5:41" ht="11.25" customHeight="1" x14ac:dyDescent="0.15">
      <c r="F173" s="4" t="s">
        <v>77</v>
      </c>
      <c r="AO173" s="39"/>
    </row>
    <row r="174" spans="5:41" ht="11.25" customHeight="1" x14ac:dyDescent="0.15">
      <c r="F174" s="4" t="s">
        <v>78</v>
      </c>
      <c r="AO174" s="39"/>
    </row>
    <row r="175" spans="5:41" ht="11.25" customHeight="1" x14ac:dyDescent="0.15">
      <c r="AO175" s="39"/>
    </row>
    <row r="176" spans="5:41" ht="11.25" customHeight="1" x14ac:dyDescent="0.15">
      <c r="F176" s="4" t="s">
        <v>79</v>
      </c>
      <c r="AO176" s="39"/>
    </row>
    <row r="177" spans="6:41" ht="11.25" customHeight="1" x14ac:dyDescent="0.15">
      <c r="F177" s="4" t="s">
        <v>80</v>
      </c>
      <c r="AO177" s="39"/>
    </row>
    <row r="178" spans="6:41" ht="11.25" customHeight="1" x14ac:dyDescent="0.15">
      <c r="F178" s="4" t="s">
        <v>81</v>
      </c>
      <c r="AO178" s="39"/>
    </row>
    <row r="179" spans="6:41" ht="11.25" customHeight="1" x14ac:dyDescent="0.15">
      <c r="AO179" s="39"/>
    </row>
    <row r="180" spans="6:41" ht="11.25" customHeight="1" x14ac:dyDescent="0.15">
      <c r="F180" s="37" t="str">
        <f>$E$162&amp;"1."</f>
        <v>4.1.3.2.1.</v>
      </c>
      <c r="G180" s="4" t="s">
        <v>82</v>
      </c>
      <c r="AO180" s="39"/>
    </row>
    <row r="181" spans="6:41" ht="11.25" customHeight="1" x14ac:dyDescent="0.15">
      <c r="G181" s="40" t="s">
        <v>83</v>
      </c>
      <c r="H181" s="41"/>
      <c r="I181" s="41"/>
      <c r="J181" s="41"/>
      <c r="K181" s="49" t="s">
        <v>84</v>
      </c>
      <c r="L181" s="50"/>
      <c r="M181" s="50"/>
      <c r="N181" s="50"/>
      <c r="O181" s="50"/>
      <c r="P181" s="50"/>
      <c r="Q181" s="50"/>
      <c r="R181" s="50"/>
      <c r="S181" s="50"/>
      <c r="T181" s="50"/>
      <c r="U181" s="50"/>
      <c r="V181" s="50"/>
      <c r="W181" s="50"/>
      <c r="X181" s="50"/>
      <c r="Y181" s="50"/>
      <c r="Z181" s="50"/>
      <c r="AA181" s="50"/>
      <c r="AB181" s="50"/>
      <c r="AC181" s="50"/>
      <c r="AD181" s="50"/>
      <c r="AE181" s="51"/>
      <c r="AO181" s="39"/>
    </row>
    <row r="182" spans="6:41" ht="11.25" customHeight="1" x14ac:dyDescent="0.15">
      <c r="G182" s="33" t="s">
        <v>64</v>
      </c>
      <c r="H182" s="32"/>
      <c r="I182" s="32"/>
      <c r="J182" s="32"/>
      <c r="K182" s="33" t="s">
        <v>85</v>
      </c>
      <c r="L182" s="32"/>
      <c r="M182" s="32"/>
      <c r="N182" s="32"/>
      <c r="O182" s="32"/>
      <c r="P182" s="32"/>
      <c r="Q182" s="32"/>
      <c r="R182" s="32"/>
      <c r="S182" s="32"/>
      <c r="T182" s="32"/>
      <c r="U182" s="32"/>
      <c r="V182" s="32"/>
      <c r="W182" s="32"/>
      <c r="X182" s="32"/>
      <c r="Y182" s="32"/>
      <c r="Z182" s="32"/>
      <c r="AA182" s="32"/>
      <c r="AB182" s="32"/>
      <c r="AC182" s="32"/>
      <c r="AD182" s="32"/>
      <c r="AE182" s="34"/>
      <c r="AO182" s="39"/>
    </row>
    <row r="183" spans="6:41" ht="11.25" customHeight="1" x14ac:dyDescent="0.15">
      <c r="G183" s="19" t="s">
        <v>86</v>
      </c>
      <c r="H183" s="20"/>
      <c r="I183" s="20"/>
      <c r="J183" s="20"/>
      <c r="K183" s="19" t="s">
        <v>87</v>
      </c>
      <c r="L183" s="20"/>
      <c r="M183" s="20"/>
      <c r="N183" s="20"/>
      <c r="O183" s="20"/>
      <c r="P183" s="20"/>
      <c r="Q183" s="20"/>
      <c r="R183" s="20"/>
      <c r="S183" s="20"/>
      <c r="T183" s="20"/>
      <c r="U183" s="20"/>
      <c r="V183" s="20"/>
      <c r="W183" s="20"/>
      <c r="X183" s="20"/>
      <c r="Y183" s="20"/>
      <c r="Z183" s="20"/>
      <c r="AA183" s="20"/>
      <c r="AB183" s="20"/>
      <c r="AC183" s="20"/>
      <c r="AD183" s="20"/>
      <c r="AE183" s="21"/>
      <c r="AO183" s="39"/>
    </row>
    <row r="184" spans="6:41" ht="11.25" customHeight="1" x14ac:dyDescent="0.15">
      <c r="G184" s="22"/>
      <c r="H184" s="23"/>
      <c r="I184" s="23"/>
      <c r="J184" s="23"/>
      <c r="K184" s="22" t="s">
        <v>88</v>
      </c>
      <c r="L184" s="23"/>
      <c r="M184" s="23"/>
      <c r="N184" s="23"/>
      <c r="O184" s="23"/>
      <c r="P184" s="23"/>
      <c r="Q184" s="23"/>
      <c r="R184" s="23"/>
      <c r="S184" s="23"/>
      <c r="T184" s="23"/>
      <c r="U184" s="23"/>
      <c r="V184" s="23"/>
      <c r="W184" s="23"/>
      <c r="X184" s="23"/>
      <c r="Y184" s="23"/>
      <c r="Z184" s="23"/>
      <c r="AA184" s="23"/>
      <c r="AB184" s="23"/>
      <c r="AC184" s="23"/>
      <c r="AD184" s="23"/>
      <c r="AE184" s="24"/>
      <c r="AO184" s="39"/>
    </row>
    <row r="185" spans="6:41" ht="11.25" customHeight="1" x14ac:dyDescent="0.15">
      <c r="G185" s="33" t="s">
        <v>89</v>
      </c>
      <c r="H185" s="32"/>
      <c r="I185" s="32"/>
      <c r="J185" s="32"/>
      <c r="K185" s="33" t="s">
        <v>90</v>
      </c>
      <c r="L185" s="32"/>
      <c r="M185" s="32"/>
      <c r="N185" s="32"/>
      <c r="O185" s="32"/>
      <c r="P185" s="32"/>
      <c r="Q185" s="32"/>
      <c r="R185" s="32"/>
      <c r="S185" s="32"/>
      <c r="T185" s="32"/>
      <c r="U185" s="32"/>
      <c r="V185" s="32"/>
      <c r="W185" s="32"/>
      <c r="X185" s="32"/>
      <c r="Y185" s="32"/>
      <c r="Z185" s="32"/>
      <c r="AA185" s="32"/>
      <c r="AB185" s="32"/>
      <c r="AC185" s="32"/>
      <c r="AD185" s="32"/>
      <c r="AE185" s="34"/>
      <c r="AO185" s="39"/>
    </row>
    <row r="186" spans="6:41" ht="11.25" customHeight="1" x14ac:dyDescent="0.15">
      <c r="G186" s="33" t="s">
        <v>91</v>
      </c>
      <c r="H186" s="32"/>
      <c r="I186" s="32"/>
      <c r="J186" s="32"/>
      <c r="K186" s="33" t="s">
        <v>92</v>
      </c>
      <c r="L186" s="32"/>
      <c r="M186" s="32"/>
      <c r="N186" s="32"/>
      <c r="O186" s="32"/>
      <c r="P186" s="32"/>
      <c r="Q186" s="32"/>
      <c r="R186" s="32"/>
      <c r="S186" s="32"/>
      <c r="T186" s="32"/>
      <c r="U186" s="32"/>
      <c r="V186" s="32"/>
      <c r="W186" s="32"/>
      <c r="X186" s="32"/>
      <c r="Y186" s="32"/>
      <c r="Z186" s="32"/>
      <c r="AA186" s="32"/>
      <c r="AB186" s="32"/>
      <c r="AC186" s="32"/>
      <c r="AD186" s="32"/>
      <c r="AE186" s="34"/>
      <c r="AO186" s="39"/>
    </row>
    <row r="187" spans="6:41" ht="11.25" customHeight="1" x14ac:dyDescent="0.15">
      <c r="G187" s="33" t="s">
        <v>93</v>
      </c>
      <c r="H187" s="32"/>
      <c r="I187" s="32"/>
      <c r="J187" s="32"/>
      <c r="K187" s="33" t="s">
        <v>94</v>
      </c>
      <c r="L187" s="32"/>
      <c r="M187" s="32"/>
      <c r="N187" s="32"/>
      <c r="O187" s="32"/>
      <c r="P187" s="32"/>
      <c r="Q187" s="32"/>
      <c r="R187" s="32"/>
      <c r="S187" s="32"/>
      <c r="T187" s="32"/>
      <c r="U187" s="32"/>
      <c r="V187" s="32"/>
      <c r="W187" s="32"/>
      <c r="X187" s="32"/>
      <c r="Y187" s="32"/>
      <c r="Z187" s="32"/>
      <c r="AA187" s="32"/>
      <c r="AB187" s="32"/>
      <c r="AC187" s="32"/>
      <c r="AD187" s="32"/>
      <c r="AE187" s="34"/>
      <c r="AO187" s="39"/>
    </row>
    <row r="188" spans="6:41" ht="11.25" customHeight="1" x14ac:dyDescent="0.15">
      <c r="G188" s="19" t="s">
        <v>95</v>
      </c>
      <c r="H188" s="20"/>
      <c r="I188" s="20"/>
      <c r="J188" s="20"/>
      <c r="K188" s="19" t="s">
        <v>96</v>
      </c>
      <c r="L188" s="20"/>
      <c r="M188" s="20"/>
      <c r="N188" s="20"/>
      <c r="O188" s="20"/>
      <c r="P188" s="20"/>
      <c r="Q188" s="20"/>
      <c r="R188" s="20"/>
      <c r="S188" s="20"/>
      <c r="T188" s="20"/>
      <c r="U188" s="20"/>
      <c r="V188" s="20"/>
      <c r="W188" s="20"/>
      <c r="X188" s="20"/>
      <c r="Y188" s="20"/>
      <c r="Z188" s="20"/>
      <c r="AA188" s="20"/>
      <c r="AB188" s="20"/>
      <c r="AC188" s="20"/>
      <c r="AD188" s="20"/>
      <c r="AE188" s="21"/>
    </row>
    <row r="189" spans="6:41" ht="11.25" customHeight="1" x14ac:dyDescent="0.15">
      <c r="G189" s="16"/>
      <c r="J189" s="48"/>
      <c r="K189" s="16" t="s">
        <v>97</v>
      </c>
      <c r="L189" s="48"/>
      <c r="M189" s="48"/>
      <c r="N189" s="48"/>
      <c r="O189" s="48"/>
      <c r="P189" s="48"/>
      <c r="Q189" s="48"/>
      <c r="R189" s="48"/>
      <c r="S189" s="48"/>
      <c r="T189" s="48"/>
      <c r="U189" s="48"/>
      <c r="V189" s="48"/>
      <c r="W189" s="48"/>
      <c r="X189" s="48"/>
      <c r="Y189" s="48"/>
      <c r="Z189" s="48"/>
      <c r="AA189" s="48"/>
      <c r="AB189" s="48"/>
      <c r="AC189" s="48"/>
      <c r="AD189" s="48"/>
      <c r="AE189" s="17"/>
    </row>
    <row r="190" spans="6:41" ht="11.25" customHeight="1" x14ac:dyDescent="0.15">
      <c r="G190" s="22"/>
      <c r="H190" s="23"/>
      <c r="I190" s="23"/>
      <c r="J190" s="23"/>
      <c r="K190" s="22" t="s">
        <v>98</v>
      </c>
      <c r="L190" s="23"/>
      <c r="M190" s="23"/>
      <c r="N190" s="23"/>
      <c r="O190" s="23"/>
      <c r="P190" s="23"/>
      <c r="Q190" s="23"/>
      <c r="R190" s="23"/>
      <c r="S190" s="23"/>
      <c r="T190" s="23"/>
      <c r="U190" s="23"/>
      <c r="V190" s="23"/>
      <c r="W190" s="23"/>
      <c r="X190" s="23"/>
      <c r="Y190" s="23"/>
      <c r="Z190" s="23"/>
      <c r="AA190" s="23"/>
      <c r="AB190" s="23"/>
      <c r="AC190" s="23"/>
      <c r="AD190" s="23"/>
      <c r="AE190" s="24"/>
    </row>
    <row r="191" spans="6:41" ht="11.25" customHeight="1" x14ac:dyDescent="0.15">
      <c r="G191" s="33" t="s">
        <v>99</v>
      </c>
      <c r="H191" s="32"/>
      <c r="I191" s="32"/>
      <c r="J191" s="32"/>
      <c r="K191" s="33" t="s">
        <v>100</v>
      </c>
      <c r="L191" s="32"/>
      <c r="M191" s="32"/>
      <c r="N191" s="32"/>
      <c r="O191" s="32"/>
      <c r="P191" s="32"/>
      <c r="Q191" s="32"/>
      <c r="R191" s="32"/>
      <c r="S191" s="32"/>
      <c r="T191" s="32"/>
      <c r="U191" s="32"/>
      <c r="V191" s="32"/>
      <c r="W191" s="32"/>
      <c r="X191" s="32"/>
      <c r="Y191" s="32"/>
      <c r="Z191" s="32"/>
      <c r="AA191" s="32"/>
      <c r="AB191" s="32"/>
      <c r="AC191" s="32"/>
      <c r="AD191" s="32"/>
      <c r="AE191" s="34"/>
    </row>
    <row r="192" spans="6:41" ht="11.25" customHeight="1" x14ac:dyDescent="0.15">
      <c r="G192" s="48"/>
      <c r="H192" s="48"/>
      <c r="I192" s="48"/>
      <c r="J192" s="48"/>
      <c r="K192" s="48"/>
      <c r="L192" s="48"/>
      <c r="M192" s="48"/>
      <c r="N192" s="48"/>
      <c r="O192" s="48"/>
      <c r="P192" s="48"/>
      <c r="Q192" s="48"/>
      <c r="R192" s="48"/>
      <c r="S192" s="48"/>
      <c r="T192" s="48"/>
      <c r="U192" s="48"/>
      <c r="V192" s="48"/>
      <c r="W192" s="48"/>
      <c r="X192" s="48"/>
      <c r="Y192" s="48"/>
      <c r="Z192" s="48"/>
      <c r="AA192" s="48"/>
      <c r="AB192" s="48"/>
    </row>
    <row r="193" spans="5:28" ht="11.25" customHeight="1" x14ac:dyDescent="0.15">
      <c r="G193" s="48"/>
      <c r="H193" s="48"/>
      <c r="I193" s="48"/>
      <c r="J193" s="48"/>
      <c r="K193" s="48"/>
      <c r="L193" s="48"/>
      <c r="M193" s="48"/>
      <c r="N193" s="48"/>
      <c r="O193" s="48"/>
      <c r="P193" s="48"/>
      <c r="Q193" s="48"/>
      <c r="R193" s="48"/>
      <c r="S193" s="48"/>
      <c r="T193" s="48"/>
      <c r="U193" s="48"/>
      <c r="V193" s="48"/>
      <c r="W193" s="48"/>
      <c r="X193" s="48"/>
      <c r="Y193" s="48"/>
      <c r="Z193" s="48"/>
      <c r="AA193" s="48"/>
      <c r="AB193" s="48"/>
    </row>
    <row r="194" spans="5:28" ht="11.25" customHeight="1" x14ac:dyDescent="0.15">
      <c r="G194" s="48"/>
      <c r="H194" s="48"/>
      <c r="I194" s="48"/>
      <c r="J194" s="48"/>
      <c r="K194" s="48"/>
      <c r="L194" s="48"/>
      <c r="M194" s="48"/>
      <c r="N194" s="48"/>
      <c r="O194" s="48"/>
      <c r="P194" s="48"/>
      <c r="Q194" s="48"/>
      <c r="R194" s="48"/>
      <c r="S194" s="48"/>
      <c r="T194" s="48"/>
      <c r="U194" s="48"/>
      <c r="V194" s="48"/>
      <c r="W194" s="48"/>
      <c r="X194" s="48"/>
      <c r="Y194" s="48"/>
      <c r="Z194" s="48"/>
      <c r="AA194" s="48"/>
      <c r="AB194" s="48"/>
    </row>
    <row r="195" spans="5:28" ht="11.25" customHeight="1" x14ac:dyDescent="0.15">
      <c r="G195" s="48"/>
      <c r="H195" s="48"/>
      <c r="I195" s="48"/>
      <c r="J195" s="48"/>
      <c r="K195" s="48"/>
      <c r="L195" s="48"/>
      <c r="M195" s="48"/>
      <c r="N195" s="48"/>
      <c r="O195" s="48"/>
      <c r="P195" s="48"/>
      <c r="Q195" s="48"/>
      <c r="R195" s="48"/>
      <c r="S195" s="48"/>
      <c r="T195" s="48"/>
      <c r="U195" s="48"/>
      <c r="V195" s="48"/>
      <c r="W195" s="48"/>
      <c r="X195" s="48"/>
      <c r="Y195" s="48"/>
      <c r="Z195" s="48"/>
      <c r="AA195" s="48"/>
      <c r="AB195" s="48"/>
    </row>
    <row r="196" spans="5:28" ht="11.25" customHeight="1" x14ac:dyDescent="0.15">
      <c r="G196" s="48"/>
      <c r="H196" s="48"/>
      <c r="I196" s="48"/>
      <c r="J196" s="48"/>
      <c r="K196" s="48"/>
      <c r="L196" s="48"/>
      <c r="M196" s="48"/>
      <c r="N196" s="48"/>
      <c r="O196" s="48"/>
      <c r="P196" s="48"/>
      <c r="Q196" s="48"/>
      <c r="R196" s="48"/>
      <c r="S196" s="48"/>
      <c r="T196" s="48"/>
      <c r="U196" s="48"/>
      <c r="V196" s="48"/>
      <c r="W196" s="48"/>
      <c r="X196" s="48"/>
      <c r="Y196" s="48"/>
      <c r="Z196" s="48"/>
      <c r="AA196" s="48"/>
      <c r="AB196" s="48"/>
    </row>
    <row r="197" spans="5:28" ht="11.25" customHeight="1" x14ac:dyDescent="0.15">
      <c r="G197" s="48"/>
      <c r="H197" s="48"/>
      <c r="I197" s="48"/>
      <c r="J197" s="48"/>
      <c r="K197" s="48"/>
      <c r="L197" s="48"/>
      <c r="M197" s="48"/>
      <c r="N197" s="48"/>
      <c r="O197" s="48"/>
      <c r="P197" s="48"/>
      <c r="Q197" s="48"/>
      <c r="R197" s="48"/>
      <c r="S197" s="48"/>
      <c r="T197" s="48"/>
      <c r="U197" s="48"/>
      <c r="V197" s="48"/>
      <c r="W197" s="48"/>
      <c r="X197" s="48"/>
      <c r="Y197" s="48"/>
      <c r="Z197" s="48"/>
      <c r="AA197" s="48"/>
      <c r="AB197" s="48"/>
    </row>
    <row r="198" spans="5:28" ht="11.25" customHeight="1" x14ac:dyDescent="0.15">
      <c r="G198" s="48"/>
      <c r="H198" s="48"/>
      <c r="I198" s="48"/>
      <c r="J198" s="48"/>
      <c r="K198" s="48"/>
      <c r="L198" s="48"/>
      <c r="M198" s="48"/>
      <c r="N198" s="48"/>
      <c r="O198" s="48"/>
      <c r="P198" s="48"/>
      <c r="Q198" s="48"/>
      <c r="R198" s="48"/>
      <c r="S198" s="48"/>
      <c r="T198" s="48"/>
      <c r="U198" s="48"/>
      <c r="V198" s="48"/>
      <c r="W198" s="48"/>
      <c r="X198" s="48"/>
      <c r="Y198" s="48"/>
      <c r="Z198" s="48"/>
      <c r="AA198" s="48"/>
      <c r="AB198" s="48"/>
    </row>
    <row r="199" spans="5:28" ht="11.25" customHeight="1" x14ac:dyDescent="0.15">
      <c r="G199" s="48"/>
      <c r="H199" s="48"/>
      <c r="I199" s="48"/>
      <c r="J199" s="48"/>
      <c r="K199" s="48"/>
      <c r="L199" s="48"/>
      <c r="M199" s="48"/>
      <c r="N199" s="48"/>
      <c r="O199" s="48"/>
      <c r="P199" s="48"/>
      <c r="Q199" s="48"/>
      <c r="R199" s="48"/>
      <c r="S199" s="48"/>
      <c r="T199" s="48"/>
      <c r="U199" s="48"/>
      <c r="V199" s="48"/>
      <c r="W199" s="48"/>
      <c r="X199" s="48"/>
      <c r="Y199" s="48"/>
      <c r="Z199" s="48"/>
      <c r="AA199" s="48"/>
      <c r="AB199" s="48"/>
    </row>
    <row r="200" spans="5:28" ht="11.25" customHeight="1" x14ac:dyDescent="0.15">
      <c r="E200" s="37" t="str">
        <f>$D$78&amp;"3."</f>
        <v>4.1.3.3.</v>
      </c>
      <c r="F200" s="4" t="s">
        <v>101</v>
      </c>
    </row>
    <row r="201" spans="5:28" ht="11.25" customHeight="1" x14ac:dyDescent="0.15">
      <c r="F201" s="4" t="s">
        <v>102</v>
      </c>
    </row>
    <row r="202" spans="5:28" ht="11.25" customHeight="1" x14ac:dyDescent="0.15">
      <c r="F202" s="4" t="s">
        <v>103</v>
      </c>
    </row>
    <row r="203" spans="5:28" ht="11.25" customHeight="1" x14ac:dyDescent="0.15">
      <c r="F203" s="4" t="s">
        <v>104</v>
      </c>
    </row>
    <row r="204" spans="5:28" ht="11.25" customHeight="1" x14ac:dyDescent="0.15"/>
    <row r="205" spans="5:28" ht="11.25" customHeight="1" x14ac:dyDescent="0.15">
      <c r="F205" s="4" t="s">
        <v>105</v>
      </c>
    </row>
    <row r="206" spans="5:28" ht="11.25" customHeight="1" x14ac:dyDescent="0.15"/>
    <row r="207" spans="5:28" ht="11.25" customHeight="1" x14ac:dyDescent="0.15">
      <c r="G207" s="38" t="s">
        <v>106</v>
      </c>
    </row>
    <row r="208" spans="5:28" ht="11.25" customHeight="1" x14ac:dyDescent="0.15"/>
    <row r="209" spans="5:7" ht="11.25" customHeight="1" x14ac:dyDescent="0.15">
      <c r="F209" s="4" t="s">
        <v>233</v>
      </c>
    </row>
    <row r="210" spans="5:7" ht="11.25" customHeight="1" x14ac:dyDescent="0.15">
      <c r="F210" s="4" t="s">
        <v>234</v>
      </c>
    </row>
    <row r="211" spans="5:7" ht="11.25" customHeight="1" x14ac:dyDescent="0.15">
      <c r="F211" s="4" t="s">
        <v>107</v>
      </c>
    </row>
    <row r="212" spans="5:7" ht="11.25" customHeight="1" x14ac:dyDescent="0.15">
      <c r="F212" s="4" t="s">
        <v>108</v>
      </c>
    </row>
    <row r="213" spans="5:7" ht="11.25" customHeight="1" x14ac:dyDescent="0.15"/>
    <row r="214" spans="5:7" ht="11.25" customHeight="1" x14ac:dyDescent="0.15">
      <c r="E214" s="37" t="str">
        <f>$D$78&amp;"4."</f>
        <v>4.1.3.4.</v>
      </c>
      <c r="F214" s="4" t="s">
        <v>109</v>
      </c>
    </row>
    <row r="215" spans="5:7" ht="11.25" customHeight="1" x14ac:dyDescent="0.15">
      <c r="F215" s="4" t="s">
        <v>110</v>
      </c>
    </row>
    <row r="216" spans="5:7" ht="11.25" customHeight="1" x14ac:dyDescent="0.15">
      <c r="F216" s="4" t="s">
        <v>111</v>
      </c>
    </row>
    <row r="217" spans="5:7" ht="11.25" customHeight="1" x14ac:dyDescent="0.15">
      <c r="F217" s="4" t="s">
        <v>112</v>
      </c>
    </row>
    <row r="218" spans="5:7" ht="11.25" customHeight="1" x14ac:dyDescent="0.15"/>
    <row r="219" spans="5:7" ht="11.25" customHeight="1" x14ac:dyDescent="0.15">
      <c r="G219" s="4" t="s">
        <v>113</v>
      </c>
    </row>
    <row r="220" spans="5:7" ht="11.25" customHeight="1" x14ac:dyDescent="0.15"/>
    <row r="221" spans="5:7" ht="11.25" customHeight="1" x14ac:dyDescent="0.15">
      <c r="F221" s="4" t="s">
        <v>114</v>
      </c>
    </row>
    <row r="222" spans="5:7" ht="11.25" customHeight="1" x14ac:dyDescent="0.15">
      <c r="F222" s="4" t="s">
        <v>115</v>
      </c>
    </row>
    <row r="223" spans="5:7" ht="11.25" customHeight="1" x14ac:dyDescent="0.15"/>
    <row r="224" spans="5:7" ht="11.25" customHeight="1" x14ac:dyDescent="0.15">
      <c r="G224" s="4" t="s">
        <v>116</v>
      </c>
    </row>
    <row r="225" spans="2:35" ht="11.25" customHeight="1" x14ac:dyDescent="0.15"/>
    <row r="226" spans="2:35" ht="11.25" customHeight="1" x14ac:dyDescent="0.15">
      <c r="E226" s="37" t="str">
        <f>$D$78&amp;"5."</f>
        <v>4.1.3.5.</v>
      </c>
      <c r="F226" s="4" t="s">
        <v>117</v>
      </c>
    </row>
    <row r="227" spans="2:35" ht="11.25" customHeight="1" x14ac:dyDescent="0.15">
      <c r="E227" s="37"/>
      <c r="F227" s="4" t="s">
        <v>118</v>
      </c>
    </row>
    <row r="228" spans="2:35" ht="11.25" customHeight="1" x14ac:dyDescent="0.15">
      <c r="F228" s="4" t="s">
        <v>119</v>
      </c>
    </row>
    <row r="229" spans="2:35" ht="11.25" customHeight="1" x14ac:dyDescent="0.15"/>
    <row r="230" spans="2:35" ht="11.25" customHeight="1" x14ac:dyDescent="0.15">
      <c r="E230" s="37" t="str">
        <f>$D$78&amp;"6."</f>
        <v>4.1.3.6.</v>
      </c>
      <c r="F230" s="4" t="s">
        <v>120</v>
      </c>
    </row>
    <row r="231" spans="2:35" ht="11.25" customHeight="1" x14ac:dyDescent="0.15">
      <c r="E231" s="37"/>
      <c r="F231" s="4" t="s">
        <v>235</v>
      </c>
    </row>
    <row r="232" spans="2:35" ht="11.25" customHeight="1" x14ac:dyDescent="0.15">
      <c r="E232" s="37"/>
      <c r="F232" s="4" t="s">
        <v>236</v>
      </c>
    </row>
    <row r="233" spans="2:35" ht="11.25" customHeight="1" x14ac:dyDescent="0.15">
      <c r="E233" s="37"/>
      <c r="F233" s="4" t="s">
        <v>121</v>
      </c>
    </row>
    <row r="234" spans="2:35" ht="11.25" customHeight="1" x14ac:dyDescent="0.15">
      <c r="F234" s="4" t="s">
        <v>122</v>
      </c>
    </row>
    <row r="235" spans="2:35" ht="11.25" customHeight="1" x14ac:dyDescent="0.15"/>
    <row r="236" spans="2:35" s="46" customFormat="1" ht="11.25" customHeight="1" x14ac:dyDescent="0.15">
      <c r="F236" s="4"/>
      <c r="G236" s="4" t="s">
        <v>123</v>
      </c>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spans="2:35" s="46" customFormat="1" ht="298.5" customHeight="1" x14ac:dyDescent="0.15">
      <c r="F237" s="4"/>
      <c r="G237" s="73" t="s">
        <v>124</v>
      </c>
      <c r="H237" s="74"/>
      <c r="I237" s="74"/>
      <c r="J237" s="74"/>
      <c r="K237" s="74"/>
      <c r="L237" s="74"/>
      <c r="M237" s="74"/>
      <c r="N237" s="74"/>
      <c r="O237" s="74"/>
      <c r="P237" s="74"/>
      <c r="Q237" s="74"/>
      <c r="R237" s="74"/>
      <c r="S237" s="74"/>
      <c r="T237" s="74"/>
      <c r="U237" s="74"/>
      <c r="V237" s="74"/>
      <c r="W237" s="74"/>
      <c r="X237" s="74"/>
      <c r="Y237" s="74"/>
      <c r="Z237" s="74"/>
      <c r="AA237" s="74"/>
      <c r="AB237" s="75"/>
      <c r="AC237" s="4"/>
      <c r="AD237" s="4"/>
      <c r="AE237" s="4"/>
      <c r="AF237" s="4"/>
      <c r="AG237" s="4"/>
      <c r="AH237" s="4"/>
      <c r="AI237" s="4"/>
    </row>
    <row r="238" spans="2:35" ht="11.25" customHeight="1" x14ac:dyDescent="0.15"/>
    <row r="239" spans="2:35" ht="11.25" customHeight="1" x14ac:dyDescent="0.15">
      <c r="E239" s="37" t="str">
        <f>$D$78&amp;"7."</f>
        <v>4.1.3.7.</v>
      </c>
      <c r="F239" s="4" t="s">
        <v>125</v>
      </c>
    </row>
    <row r="240" spans="2:35" s="46" customFormat="1" ht="11.25" customHeight="1" x14ac:dyDescent="0.15">
      <c r="B240"/>
      <c r="C240"/>
      <c r="D240"/>
      <c r="F240" s="4" t="s">
        <v>126</v>
      </c>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spans="2:35" s="46" customFormat="1" ht="11.25" customHeight="1" x14ac:dyDescent="0.15">
      <c r="B241"/>
      <c r="C241"/>
      <c r="D241"/>
      <c r="F241" s="4" t="s">
        <v>127</v>
      </c>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spans="2:35" s="46" customFormat="1" ht="11.25" customHeight="1" x14ac:dyDescent="0.15">
      <c r="B242"/>
      <c r="C242"/>
      <c r="D242"/>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spans="2:35" s="46" customFormat="1" ht="11.25" customHeight="1" x14ac:dyDescent="0.15">
      <c r="F243" s="4" t="s">
        <v>128</v>
      </c>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spans="2:35" s="46" customFormat="1" ht="11.25" customHeight="1" x14ac:dyDescent="0.15">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spans="2:35" s="46" customFormat="1" ht="11.25" customHeight="1" x14ac:dyDescent="0.15">
      <c r="F245" s="37" t="s">
        <v>129</v>
      </c>
      <c r="G245" s="4" t="s">
        <v>130</v>
      </c>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spans="2:35" s="46" customFormat="1" ht="11.25" customHeight="1" x14ac:dyDescent="0.15">
      <c r="F246" s="37" t="s">
        <v>131</v>
      </c>
      <c r="G246" s="4" t="s">
        <v>132</v>
      </c>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spans="2:35" s="46" customFormat="1" ht="11.25" customHeight="1" x14ac:dyDescent="0.15">
      <c r="F247" s="37" t="s">
        <v>133</v>
      </c>
      <c r="G247" s="4" t="s">
        <v>134</v>
      </c>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spans="2:35" s="46" customFormat="1" ht="11.25" customHeight="1" x14ac:dyDescent="0.15">
      <c r="F248" s="37"/>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spans="2:35" s="46" customFormat="1" ht="11.25" customHeight="1" x14ac:dyDescent="0.15">
      <c r="F249" s="4" t="s">
        <v>135</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spans="2:35" s="46" customFormat="1" ht="11.25" customHeight="1" x14ac:dyDescent="0.15">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spans="2:35" s="46" customFormat="1" ht="11.25" customHeight="1" x14ac:dyDescent="0.15">
      <c r="F251" s="4"/>
      <c r="G251" s="4"/>
      <c r="H251" s="4" t="s">
        <v>136</v>
      </c>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spans="2:35" s="46" customFormat="1" ht="11.25" customHeight="1" x14ac:dyDescent="0.15">
      <c r="F252" s="4"/>
      <c r="G252" s="4"/>
      <c r="H252" s="4"/>
      <c r="I252" s="4" t="s">
        <v>137</v>
      </c>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spans="2:35" s="46" customFormat="1" ht="11.25" customHeight="1" x14ac:dyDescent="0.15">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spans="2:35" s="46" customFormat="1" ht="11.25" customHeight="1" x14ac:dyDescent="0.15">
      <c r="F254" s="4"/>
      <c r="G254" s="4"/>
      <c r="H254" s="4"/>
      <c r="I254" s="4" t="s">
        <v>138</v>
      </c>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spans="2:35" s="46" customFormat="1" ht="11.25" customHeight="1" x14ac:dyDescent="0.15">
      <c r="F255" s="4"/>
      <c r="G255" s="4"/>
      <c r="H255" s="4" t="s">
        <v>139</v>
      </c>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spans="2:35" s="46" customFormat="1" ht="11.25" customHeight="1" x14ac:dyDescent="0.15">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spans="6:35" s="46" customFormat="1" ht="11.25" customHeight="1" x14ac:dyDescent="0.15">
      <c r="F257" s="4" t="s">
        <v>140</v>
      </c>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spans="6:35" s="46" customFormat="1" ht="11.25" customHeight="1" x14ac:dyDescent="0.15">
      <c r="F258" s="4" t="s">
        <v>141</v>
      </c>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spans="6:35" s="46" customFormat="1" ht="11.25" customHeight="1" x14ac:dyDescent="0.15">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spans="6:35" s="46" customFormat="1" ht="11.25" customHeight="1" x14ac:dyDescent="0.15">
      <c r="F260" s="4" t="s">
        <v>142</v>
      </c>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spans="6:35" s="46" customFormat="1" ht="11.25" customHeight="1" x14ac:dyDescent="0.15">
      <c r="F261" s="4" t="s">
        <v>143</v>
      </c>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spans="6:35" s="46" customFormat="1" ht="11.25" customHeight="1" x14ac:dyDescent="0.15">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spans="6:35" s="46" customFormat="1" ht="11.25" customHeight="1" x14ac:dyDescent="0.15">
      <c r="F263" s="4"/>
      <c r="G263" s="4" t="s">
        <v>123</v>
      </c>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spans="6:35" s="46" customFormat="1" ht="276" customHeight="1" x14ac:dyDescent="0.15">
      <c r="F264" s="4"/>
      <c r="G264" s="73" t="s">
        <v>144</v>
      </c>
      <c r="H264" s="74"/>
      <c r="I264" s="74"/>
      <c r="J264" s="74"/>
      <c r="K264" s="74"/>
      <c r="L264" s="74"/>
      <c r="M264" s="74"/>
      <c r="N264" s="74"/>
      <c r="O264" s="74"/>
      <c r="P264" s="74"/>
      <c r="Q264" s="74"/>
      <c r="R264" s="74"/>
      <c r="S264" s="74"/>
      <c r="T264" s="74"/>
      <c r="U264" s="74"/>
      <c r="V264" s="74"/>
      <c r="W264" s="74"/>
      <c r="X264" s="74"/>
      <c r="Y264" s="74"/>
      <c r="Z264" s="74"/>
      <c r="AA264" s="74"/>
      <c r="AB264" s="75"/>
      <c r="AC264" s="4"/>
      <c r="AD264" s="4"/>
      <c r="AE264" s="4"/>
      <c r="AF264" s="4"/>
      <c r="AG264" s="4"/>
      <c r="AH264" s="4"/>
      <c r="AI264" s="4"/>
    </row>
    <row r="265" spans="6:35" s="46" customFormat="1" ht="11.25" customHeight="1" x14ac:dyDescent="0.15">
      <c r="F265" s="4"/>
      <c r="G265" s="45"/>
      <c r="H265" s="45"/>
      <c r="I265" s="45"/>
      <c r="J265" s="45"/>
      <c r="K265" s="45"/>
      <c r="L265" s="45"/>
      <c r="M265" s="45"/>
      <c r="N265" s="45"/>
      <c r="O265" s="45"/>
      <c r="P265" s="45"/>
      <c r="Q265" s="45"/>
      <c r="R265" s="45"/>
      <c r="S265" s="45"/>
      <c r="T265" s="45"/>
      <c r="U265" s="45"/>
      <c r="V265" s="45"/>
      <c r="W265" s="45"/>
      <c r="X265" s="45"/>
      <c r="Y265" s="45"/>
      <c r="Z265" s="45"/>
      <c r="AA265" s="45"/>
      <c r="AB265" s="4"/>
      <c r="AC265" s="4"/>
      <c r="AD265" s="4"/>
      <c r="AE265" s="4"/>
      <c r="AF265" s="4"/>
      <c r="AG265" s="4"/>
      <c r="AH265" s="4"/>
      <c r="AI265" s="4"/>
    </row>
    <row r="266" spans="6:35" s="46" customFormat="1" ht="11.25" customHeight="1" x14ac:dyDescent="0.15">
      <c r="F266" s="4" t="s">
        <v>237</v>
      </c>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spans="6:35" s="46" customFormat="1" ht="11.25" customHeight="1" x14ac:dyDescent="0.15">
      <c r="F267" s="4" t="s">
        <v>238</v>
      </c>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spans="6:35" s="46" customFormat="1" ht="11.25" customHeight="1" x14ac:dyDescent="0.15">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spans="6:35" s="46" customFormat="1" ht="11.25" customHeight="1" x14ac:dyDescent="0.15">
      <c r="F269" s="4"/>
      <c r="G269" s="47" t="s">
        <v>145</v>
      </c>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spans="6:35" s="46" customFormat="1" ht="11.25" customHeight="1" x14ac:dyDescent="0.15">
      <c r="F270" s="4"/>
      <c r="G270" s="4" t="s">
        <v>146</v>
      </c>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spans="6:35" s="46" customFormat="1" ht="11.25" customHeight="1" x14ac:dyDescent="0.15">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spans="6:35" s="46" customFormat="1" ht="11.25" customHeight="1" x14ac:dyDescent="0.15">
      <c r="F272" s="4" t="s">
        <v>226</v>
      </c>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spans="4:35" s="46" customFormat="1" ht="11.25" customHeight="1" x14ac:dyDescent="0.15">
      <c r="F273" s="4" t="s">
        <v>239</v>
      </c>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spans="4:35" s="46" customFormat="1" ht="11.25" customHeight="1" x14ac:dyDescent="0.15">
      <c r="F274" s="4" t="s">
        <v>240</v>
      </c>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spans="4:35" s="46" customFormat="1" ht="11.25" customHeight="1" x14ac:dyDescent="0.15">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4:35" s="46" customFormat="1" ht="11.25" customHeight="1" x14ac:dyDescent="0.15">
      <c r="D276" s="4"/>
      <c r="E276" s="4"/>
      <c r="F276" s="4" t="s">
        <v>147</v>
      </c>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4:35" s="46" customFormat="1" ht="11.25" customHeight="1" x14ac:dyDescent="0.15">
      <c r="D277" s="4"/>
      <c r="E277" s="4"/>
      <c r="F277" s="4" t="s">
        <v>148</v>
      </c>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4:35" s="46" customFormat="1" ht="11.25" customHeight="1" x14ac:dyDescent="0.15">
      <c r="D278" s="4"/>
      <c r="E278" s="4"/>
      <c r="F278" s="4" t="s">
        <v>149</v>
      </c>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4:35" ht="11.25" customHeight="1" x14ac:dyDescent="0.15">
      <c r="F279" s="45"/>
      <c r="G279" s="45"/>
      <c r="H279" s="45"/>
      <c r="I279" s="45"/>
      <c r="J279" s="45"/>
      <c r="K279" s="45"/>
      <c r="L279" s="45"/>
      <c r="M279" s="45"/>
      <c r="N279" s="45"/>
      <c r="O279" s="45"/>
      <c r="P279" s="45"/>
      <c r="Q279" s="45"/>
      <c r="R279" s="45"/>
      <c r="S279" s="45"/>
      <c r="T279" s="45"/>
      <c r="U279" s="45"/>
      <c r="V279" s="45"/>
      <c r="W279" s="45"/>
      <c r="X279" s="45"/>
      <c r="Y279" s="45"/>
      <c r="Z279" s="45"/>
    </row>
    <row r="280" spans="4:35" ht="11.25" customHeight="1" x14ac:dyDescent="0.15">
      <c r="D280" s="15" t="str">
        <f>$C$7&amp;"4."</f>
        <v>4.1.4.</v>
      </c>
      <c r="E280" s="4" t="s">
        <v>150</v>
      </c>
    </row>
    <row r="281" spans="4:35" ht="11.25" customHeight="1" x14ac:dyDescent="0.15">
      <c r="E281" s="4" t="s">
        <v>151</v>
      </c>
    </row>
    <row r="282" spans="4:35" ht="11.25" customHeight="1" x14ac:dyDescent="0.15">
      <c r="E282" s="4" t="s">
        <v>152</v>
      </c>
    </row>
    <row r="283" spans="4:35" ht="11.25" customHeight="1" x14ac:dyDescent="0.15">
      <c r="E283" s="4" t="s">
        <v>153</v>
      </c>
    </row>
    <row r="284" spans="4:35" ht="11.25" customHeight="1" x14ac:dyDescent="0.15">
      <c r="E284" s="4" t="s">
        <v>154</v>
      </c>
    </row>
    <row r="285" spans="4:35" ht="11.25" customHeight="1" x14ac:dyDescent="0.15"/>
    <row r="286" spans="4:35" ht="11.25" customHeight="1" x14ac:dyDescent="0.15"/>
    <row r="287" spans="4:35" ht="11.25" customHeight="1" x14ac:dyDescent="0.15"/>
    <row r="288" spans="4:35"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spans="4:6" ht="11.25" customHeight="1" x14ac:dyDescent="0.15"/>
    <row r="322" spans="4:6" ht="11.25" customHeight="1" x14ac:dyDescent="0.15"/>
    <row r="323" spans="4:6" ht="11.25" customHeight="1" x14ac:dyDescent="0.15"/>
    <row r="324" spans="4:6" ht="11.25" customHeight="1" x14ac:dyDescent="0.15"/>
    <row r="325" spans="4:6" ht="11.25" customHeight="1" x14ac:dyDescent="0.15"/>
    <row r="326" spans="4:6" ht="11.25" customHeight="1" x14ac:dyDescent="0.15"/>
    <row r="327" spans="4:6" ht="11.25" customHeight="1" x14ac:dyDescent="0.15">
      <c r="D327" s="15" t="str">
        <f>$C$7&amp;"5."</f>
        <v>4.1.5.</v>
      </c>
      <c r="E327" s="4" t="s">
        <v>155</v>
      </c>
    </row>
    <row r="328" spans="4:6" ht="11.25" customHeight="1" x14ac:dyDescent="0.15">
      <c r="E328" s="4" t="s">
        <v>156</v>
      </c>
    </row>
    <row r="329" spans="4:6" ht="11.25" customHeight="1" x14ac:dyDescent="0.15">
      <c r="E329" s="4" t="s">
        <v>157</v>
      </c>
    </row>
    <row r="330" spans="4:6" ht="11.25" customHeight="1" x14ac:dyDescent="0.15">
      <c r="E330" s="4" t="s">
        <v>158</v>
      </c>
    </row>
    <row r="331" spans="4:6" ht="11.25" customHeight="1" x14ac:dyDescent="0.15">
      <c r="E331" s="4" t="s">
        <v>159</v>
      </c>
    </row>
    <row r="332" spans="4:6" ht="11.25" customHeight="1" x14ac:dyDescent="0.15">
      <c r="E332" s="4" t="s">
        <v>160</v>
      </c>
    </row>
    <row r="333" spans="4:6" ht="11.25" customHeight="1" x14ac:dyDescent="0.15"/>
    <row r="334" spans="4:6" ht="11.25" customHeight="1" x14ac:dyDescent="0.15">
      <c r="D334" s="15" t="str">
        <f>$C$7&amp;"6."</f>
        <v>4.1.6.</v>
      </c>
      <c r="E334" s="4" t="s">
        <v>161</v>
      </c>
    </row>
    <row r="335" spans="4:6" ht="11.25" customHeight="1" x14ac:dyDescent="0.15">
      <c r="E335" s="15" t="str">
        <f>$D$334&amp;"1."</f>
        <v>4.1.6.1.</v>
      </c>
      <c r="F335" s="4" t="s">
        <v>162</v>
      </c>
    </row>
    <row r="336" spans="4:6" ht="11.25" customHeight="1" x14ac:dyDescent="0.15">
      <c r="F336" s="4" t="s">
        <v>163</v>
      </c>
    </row>
    <row r="337" spans="4:6" ht="11.25" customHeight="1" x14ac:dyDescent="0.15">
      <c r="F337" s="4" t="s">
        <v>164</v>
      </c>
    </row>
    <row r="338" spans="4:6" ht="11.25" customHeight="1" x14ac:dyDescent="0.15"/>
    <row r="339" spans="4:6" ht="11.25" customHeight="1" x14ac:dyDescent="0.15">
      <c r="E339" s="15" t="str">
        <f>$D$334&amp;"2."</f>
        <v>4.1.6.2.</v>
      </c>
      <c r="F339" s="4" t="s">
        <v>165</v>
      </c>
    </row>
    <row r="340" spans="4:6" ht="11.25" customHeight="1" x14ac:dyDescent="0.15">
      <c r="F340" s="4" t="s">
        <v>166</v>
      </c>
    </row>
    <row r="341" spans="4:6" ht="11.25" customHeight="1" x14ac:dyDescent="0.15"/>
    <row r="342" spans="4:6" ht="11.25" customHeight="1" x14ac:dyDescent="0.15">
      <c r="E342" s="15" t="str">
        <f>$D$334&amp;"3."</f>
        <v>4.1.6.3.</v>
      </c>
      <c r="F342" s="4" t="s">
        <v>167</v>
      </c>
    </row>
    <row r="343" spans="4:6" ht="11.25" customHeight="1" x14ac:dyDescent="0.15">
      <c r="F343" s="4" t="s">
        <v>168</v>
      </c>
    </row>
    <row r="344" spans="4:6" ht="11.25" customHeight="1" x14ac:dyDescent="0.15">
      <c r="F344" s="4" t="s">
        <v>169</v>
      </c>
    </row>
    <row r="345" spans="4:6" ht="11.25" customHeight="1" x14ac:dyDescent="0.15"/>
    <row r="346" spans="4:6" ht="11.25" customHeight="1" x14ac:dyDescent="0.15">
      <c r="D346" s="15" t="str">
        <f>$C$7&amp;"7."</f>
        <v>4.1.7.</v>
      </c>
      <c r="E346" s="4" t="s">
        <v>170</v>
      </c>
    </row>
    <row r="347" spans="4:6" ht="11.25" customHeight="1" x14ac:dyDescent="0.15">
      <c r="E347" s="15" t="str">
        <f>$D$346&amp;"1."</f>
        <v>4.1.7.1.</v>
      </c>
      <c r="F347" s="4" t="s">
        <v>171</v>
      </c>
    </row>
    <row r="348" spans="4:6" ht="11.25" customHeight="1" x14ac:dyDescent="0.15">
      <c r="F348" s="4" t="s">
        <v>172</v>
      </c>
    </row>
    <row r="349" spans="4:6" ht="11.25" customHeight="1" x14ac:dyDescent="0.15">
      <c r="F349" s="4" t="s">
        <v>173</v>
      </c>
    </row>
    <row r="350" spans="4:6" ht="11.25" customHeight="1" x14ac:dyDescent="0.15">
      <c r="F350" s="4" t="s">
        <v>174</v>
      </c>
    </row>
    <row r="351" spans="4:6" ht="11.25" customHeight="1" x14ac:dyDescent="0.15"/>
    <row r="352" spans="4:6" ht="11.25" customHeight="1" x14ac:dyDescent="0.15">
      <c r="E352" s="15" t="str">
        <f>$D$346&amp;"2."</f>
        <v>4.1.7.2.</v>
      </c>
      <c r="F352" s="4" t="s">
        <v>175</v>
      </c>
    </row>
    <row r="353" spans="4:7" ht="11.25" customHeight="1" x14ac:dyDescent="0.15">
      <c r="E353" s="15"/>
      <c r="F353" s="4" t="s">
        <v>176</v>
      </c>
    </row>
    <row r="354" spans="4:7" ht="11.25" customHeight="1" x14ac:dyDescent="0.15">
      <c r="F354" s="4" t="s">
        <v>177</v>
      </c>
    </row>
    <row r="355" spans="4:7" ht="11.25" customHeight="1" x14ac:dyDescent="0.15">
      <c r="F355" s="4" t="s">
        <v>178</v>
      </c>
    </row>
    <row r="356" spans="4:7" ht="11.25" customHeight="1" x14ac:dyDescent="0.15"/>
    <row r="357" spans="4:7" ht="11.25" customHeight="1" x14ac:dyDescent="0.15">
      <c r="D357" s="15" t="str">
        <f>$C$7&amp;"8."</f>
        <v>4.1.8.</v>
      </c>
      <c r="E357" s="4" t="s">
        <v>179</v>
      </c>
    </row>
    <row r="358" spans="4:7" ht="11.25" customHeight="1" x14ac:dyDescent="0.15">
      <c r="E358" s="4" t="s">
        <v>180</v>
      </c>
    </row>
    <row r="359" spans="4:7" ht="11.25" customHeight="1" x14ac:dyDescent="0.15">
      <c r="E359" s="4" t="s">
        <v>181</v>
      </c>
    </row>
    <row r="360" spans="4:7" ht="11.25" customHeight="1" x14ac:dyDescent="0.15"/>
    <row r="361" spans="4:7" ht="11.25" customHeight="1" x14ac:dyDescent="0.15">
      <c r="D361" s="15" t="str">
        <f>$C$7&amp;"9."</f>
        <v>4.1.9.</v>
      </c>
      <c r="E361" s="4" t="s">
        <v>182</v>
      </c>
    </row>
    <row r="362" spans="4:7" ht="11.25" customHeight="1" x14ac:dyDescent="0.15">
      <c r="D362" s="15"/>
      <c r="E362" s="15" t="str">
        <f>$D$361&amp;"1."</f>
        <v>4.1.9.1.</v>
      </c>
      <c r="F362" s="4" t="s">
        <v>183</v>
      </c>
    </row>
    <row r="363" spans="4:7" ht="11.25" customHeight="1" x14ac:dyDescent="0.15">
      <c r="F363" s="4" t="s">
        <v>184</v>
      </c>
    </row>
    <row r="364" spans="4:7" ht="11.25" customHeight="1" x14ac:dyDescent="0.15"/>
    <row r="365" spans="4:7" ht="11.25" customHeight="1" x14ac:dyDescent="0.15">
      <c r="F365" s="36" t="s">
        <v>185</v>
      </c>
      <c r="G365" s="4" t="s">
        <v>186</v>
      </c>
    </row>
    <row r="366" spans="4:7" ht="11.25" customHeight="1" x14ac:dyDescent="0.15">
      <c r="G366" s="4" t="s">
        <v>187</v>
      </c>
    </row>
    <row r="367" spans="4:7" ht="11.25" customHeight="1" x14ac:dyDescent="0.15">
      <c r="G367" s="4" t="s">
        <v>188</v>
      </c>
    </row>
    <row r="368" spans="4:7" ht="11.25" customHeight="1" x14ac:dyDescent="0.15">
      <c r="G368" s="4" t="s">
        <v>189</v>
      </c>
    </row>
    <row r="369" spans="5:7" ht="11.25" customHeight="1" x14ac:dyDescent="0.15"/>
    <row r="370" spans="5:7" ht="11.25" customHeight="1" x14ac:dyDescent="0.15">
      <c r="F370" s="36" t="s">
        <v>190</v>
      </c>
      <c r="G370" s="4" t="s">
        <v>191</v>
      </c>
    </row>
    <row r="371" spans="5:7" ht="11.25" customHeight="1" x14ac:dyDescent="0.15">
      <c r="G371" s="4" t="s">
        <v>192</v>
      </c>
    </row>
    <row r="372" spans="5:7" ht="11.25" customHeight="1" x14ac:dyDescent="0.15"/>
    <row r="373" spans="5:7" ht="11.25" customHeight="1" x14ac:dyDescent="0.15">
      <c r="E373" s="15" t="str">
        <f>$D$361&amp;"2."</f>
        <v>4.1.9.2.</v>
      </c>
      <c r="F373" s="4" t="s">
        <v>193</v>
      </c>
    </row>
    <row r="374" spans="5:7" ht="11.25" customHeight="1" x14ac:dyDescent="0.15"/>
    <row r="375" spans="5:7" ht="11.25" customHeight="1" x14ac:dyDescent="0.15">
      <c r="F375" s="36" t="str">
        <f>$E$373&amp;"1."</f>
        <v>4.1.9.2.1.</v>
      </c>
      <c r="G375" s="4" t="s">
        <v>194</v>
      </c>
    </row>
    <row r="376" spans="5:7" ht="11.25" customHeight="1" x14ac:dyDescent="0.15">
      <c r="G376" s="4" t="s">
        <v>195</v>
      </c>
    </row>
    <row r="377" spans="5:7" ht="11.25" customHeight="1" x14ac:dyDescent="0.15">
      <c r="G377" s="4" t="s">
        <v>196</v>
      </c>
    </row>
    <row r="378" spans="5:7" ht="11.25" customHeight="1" x14ac:dyDescent="0.15">
      <c r="G378" s="4" t="s">
        <v>197</v>
      </c>
    </row>
    <row r="379" spans="5:7" ht="11.25" customHeight="1" x14ac:dyDescent="0.15"/>
    <row r="380" spans="5:7" ht="11.25" customHeight="1" x14ac:dyDescent="0.15">
      <c r="F380" s="36" t="str">
        <f>$E$373&amp;"2."</f>
        <v>4.1.9.2.2.</v>
      </c>
      <c r="G380" s="4" t="s">
        <v>198</v>
      </c>
    </row>
    <row r="381" spans="5:7" ht="11.25" customHeight="1" x14ac:dyDescent="0.15">
      <c r="G381" s="4" t="s">
        <v>199</v>
      </c>
    </row>
    <row r="382" spans="5:7" ht="11.25" customHeight="1" x14ac:dyDescent="0.15">
      <c r="G382" s="4" t="s">
        <v>200</v>
      </c>
    </row>
    <row r="383" spans="5:7" ht="11.25" customHeight="1" x14ac:dyDescent="0.15">
      <c r="G383" s="4" t="s">
        <v>201</v>
      </c>
    </row>
    <row r="384" spans="5:7" ht="11.25" customHeight="1" x14ac:dyDescent="0.15">
      <c r="G384" s="4" t="s">
        <v>202</v>
      </c>
    </row>
    <row r="385" spans="5:7" ht="11.25" customHeight="1" x14ac:dyDescent="0.15"/>
    <row r="386" spans="5:7" ht="11.25" customHeight="1" x14ac:dyDescent="0.15">
      <c r="F386" s="36" t="str">
        <f>$E$373&amp;"3."</f>
        <v>4.1.9.2.3.</v>
      </c>
      <c r="G386" s="4" t="s">
        <v>203</v>
      </c>
    </row>
    <row r="387" spans="5:7" ht="11.25" customHeight="1" x14ac:dyDescent="0.15">
      <c r="G387" s="4" t="s">
        <v>204</v>
      </c>
    </row>
    <row r="388" spans="5:7" ht="11.25" customHeight="1" x14ac:dyDescent="0.15">
      <c r="G388" s="4" t="s">
        <v>205</v>
      </c>
    </row>
    <row r="389" spans="5:7" ht="11.25" customHeight="1" x14ac:dyDescent="0.15">
      <c r="G389" s="4" t="s">
        <v>206</v>
      </c>
    </row>
    <row r="390" spans="5:7" ht="11.25" customHeight="1" x14ac:dyDescent="0.15"/>
    <row r="391" spans="5:7" ht="11.25" customHeight="1" x14ac:dyDescent="0.15">
      <c r="E391" s="15" t="str">
        <f>$D$361&amp;"3."</f>
        <v>4.1.9.3.</v>
      </c>
      <c r="F391" s="4" t="s">
        <v>207</v>
      </c>
    </row>
    <row r="392" spans="5:7" ht="11.25" customHeight="1" x14ac:dyDescent="0.15">
      <c r="F392" s="4" t="s">
        <v>208</v>
      </c>
    </row>
    <row r="393" spans="5:7" ht="11.25" customHeight="1" x14ac:dyDescent="0.15">
      <c r="F393" s="4" t="s">
        <v>209</v>
      </c>
    </row>
    <row r="394" spans="5:7" ht="11.25" customHeight="1" x14ac:dyDescent="0.15">
      <c r="F394" s="4" t="s">
        <v>210</v>
      </c>
    </row>
    <row r="395" spans="5:7" ht="11.25" customHeight="1" x14ac:dyDescent="0.15"/>
    <row r="396" spans="5:7" ht="11.25" customHeight="1" x14ac:dyDescent="0.15">
      <c r="F396" s="4" t="s">
        <v>211</v>
      </c>
    </row>
    <row r="397" spans="5:7" ht="11.25" customHeight="1" x14ac:dyDescent="0.15">
      <c r="F397" s="4" t="s">
        <v>212</v>
      </c>
    </row>
    <row r="398" spans="5:7" ht="11.25" customHeight="1" x14ac:dyDescent="0.15">
      <c r="F398" s="4" t="s">
        <v>213</v>
      </c>
    </row>
    <row r="399" spans="5:7" ht="11.25" customHeight="1" x14ac:dyDescent="0.15"/>
    <row r="400" spans="5:7" ht="11.25" customHeight="1" x14ac:dyDescent="0.15">
      <c r="E400" s="15" t="str">
        <f>$D$361&amp;"4."</f>
        <v>4.1.9.4.</v>
      </c>
      <c r="F400" s="4" t="s">
        <v>214</v>
      </c>
    </row>
    <row r="401" spans="6:28" ht="11.25" customHeight="1" x14ac:dyDescent="0.15">
      <c r="F401" s="4" t="s">
        <v>215</v>
      </c>
    </row>
    <row r="402" spans="6:28" ht="11.25" customHeight="1" x14ac:dyDescent="0.15">
      <c r="F402" s="4" t="s">
        <v>216</v>
      </c>
    </row>
    <row r="403" spans="6:28" ht="11.25" customHeight="1" x14ac:dyDescent="0.15"/>
    <row r="404" spans="6:28" ht="11.25" customHeight="1" x14ac:dyDescent="0.15">
      <c r="F404" s="4" t="s">
        <v>217</v>
      </c>
    </row>
    <row r="405" spans="6:28" ht="11.25" customHeight="1" x14ac:dyDescent="0.15"/>
    <row r="406" spans="6:28" ht="11.25" customHeight="1" x14ac:dyDescent="0.15">
      <c r="F406" s="25" t="s">
        <v>218</v>
      </c>
      <c r="G406" s="26"/>
      <c r="H406" s="26"/>
      <c r="I406" s="25" t="s">
        <v>20</v>
      </c>
      <c r="J406" s="26"/>
      <c r="K406" s="26"/>
      <c r="L406" s="26"/>
      <c r="M406" s="26"/>
      <c r="N406" s="26"/>
      <c r="O406" s="26"/>
      <c r="P406" s="26"/>
      <c r="Q406" s="26"/>
      <c r="R406" s="26"/>
      <c r="S406" s="26"/>
      <c r="T406" s="26"/>
      <c r="U406" s="26"/>
      <c r="V406" s="26"/>
      <c r="W406" s="26"/>
      <c r="X406" s="26"/>
      <c r="Y406" s="26"/>
      <c r="Z406" s="26"/>
      <c r="AA406" s="26"/>
      <c r="AB406" s="35"/>
    </row>
    <row r="407" spans="6:28" ht="11.25" customHeight="1" x14ac:dyDescent="0.15">
      <c r="F407" s="31" t="s">
        <v>219</v>
      </c>
      <c r="G407" s="32"/>
      <c r="H407" s="32"/>
      <c r="I407" s="33" t="s">
        <v>220</v>
      </c>
      <c r="J407" s="32"/>
      <c r="K407" s="32"/>
      <c r="L407" s="32"/>
      <c r="M407" s="32"/>
      <c r="N407" s="32"/>
      <c r="O407" s="32"/>
      <c r="P407" s="32"/>
      <c r="Q407" s="32"/>
      <c r="R407" s="32"/>
      <c r="S407" s="32"/>
      <c r="T407" s="32"/>
      <c r="U407" s="32"/>
      <c r="V407" s="32"/>
      <c r="W407" s="32"/>
      <c r="X407" s="32"/>
      <c r="Y407" s="32"/>
      <c r="Z407" s="32"/>
      <c r="AA407" s="32"/>
      <c r="AB407" s="34"/>
    </row>
    <row r="408" spans="6:28" ht="11.25" customHeight="1" x14ac:dyDescent="0.15">
      <c r="F408" s="30" t="s">
        <v>221</v>
      </c>
      <c r="I408" s="16" t="s">
        <v>222</v>
      </c>
      <c r="AB408" s="17"/>
    </row>
    <row r="409" spans="6:28" ht="11.25" customHeight="1" x14ac:dyDescent="0.15">
      <c r="F409" s="16"/>
      <c r="I409" s="16" t="s">
        <v>223</v>
      </c>
      <c r="AB409" s="17"/>
    </row>
    <row r="410" spans="6:28" ht="11.25" customHeight="1" x14ac:dyDescent="0.15">
      <c r="F410" s="16"/>
      <c r="I410" s="16"/>
      <c r="AB410" s="17"/>
    </row>
    <row r="411" spans="6:28" ht="11.25" customHeight="1" x14ac:dyDescent="0.15">
      <c r="F411" s="16"/>
      <c r="I411" s="16" t="s">
        <v>224</v>
      </c>
      <c r="AB411" s="17"/>
    </row>
    <row r="412" spans="6:28" ht="11.25" customHeight="1" x14ac:dyDescent="0.15">
      <c r="F412" s="22"/>
      <c r="G412" s="23"/>
      <c r="H412" s="23"/>
      <c r="I412" s="22" t="s">
        <v>225</v>
      </c>
      <c r="J412" s="23"/>
      <c r="K412" s="23"/>
      <c r="L412" s="23"/>
      <c r="M412" s="23"/>
      <c r="N412" s="23"/>
      <c r="O412" s="23"/>
      <c r="P412" s="23"/>
      <c r="Q412" s="23"/>
      <c r="R412" s="23"/>
      <c r="S412" s="23"/>
      <c r="T412" s="23"/>
      <c r="U412" s="23"/>
      <c r="V412" s="23"/>
      <c r="W412" s="23"/>
      <c r="X412" s="23"/>
      <c r="Y412" s="23"/>
      <c r="Z412" s="23"/>
      <c r="AA412" s="23"/>
      <c r="AB412" s="24"/>
    </row>
    <row r="413" spans="6:28" ht="11.25" customHeight="1" x14ac:dyDescent="0.15"/>
    <row r="414" spans="6:28" ht="11.25" customHeight="1" x14ac:dyDescent="0.15">
      <c r="F414" s="45"/>
      <c r="G414" s="45"/>
      <c r="H414" s="45"/>
      <c r="I414" s="45"/>
      <c r="J414" s="45"/>
      <c r="K414" s="45"/>
      <c r="L414" s="45"/>
      <c r="M414" s="45"/>
      <c r="N414" s="45"/>
      <c r="O414" s="45"/>
      <c r="P414" s="45"/>
      <c r="Q414" s="45"/>
      <c r="R414" s="45"/>
      <c r="S414" s="45"/>
      <c r="T414" s="45"/>
      <c r="U414" s="45"/>
      <c r="V414" s="45"/>
      <c r="W414" s="45"/>
      <c r="X414" s="45"/>
      <c r="Y414" s="45"/>
      <c r="Z414" s="45"/>
    </row>
    <row r="415" spans="6:28" ht="11.25" customHeight="1" x14ac:dyDescent="0.15">
      <c r="F415" s="45"/>
      <c r="G415" s="45"/>
      <c r="H415" s="45"/>
      <c r="I415" s="45"/>
      <c r="J415" s="45"/>
      <c r="K415" s="45"/>
      <c r="L415" s="45"/>
      <c r="M415" s="45"/>
      <c r="N415" s="45"/>
      <c r="O415" s="45"/>
      <c r="P415" s="45"/>
      <c r="Q415" s="45"/>
      <c r="R415" s="45"/>
      <c r="S415" s="45"/>
      <c r="T415" s="45"/>
      <c r="U415" s="45"/>
      <c r="V415" s="45"/>
      <c r="W415" s="45"/>
      <c r="X415" s="45"/>
      <c r="Y415" s="45"/>
      <c r="Z415" s="45"/>
    </row>
    <row r="416" spans="6:28" ht="11.25" customHeight="1" x14ac:dyDescent="0.15">
      <c r="F416" s="45"/>
      <c r="G416" s="45"/>
      <c r="H416" s="45"/>
      <c r="I416" s="45"/>
      <c r="J416" s="45"/>
      <c r="K416" s="45"/>
      <c r="L416" s="45"/>
      <c r="M416" s="45"/>
      <c r="N416" s="45"/>
      <c r="O416" s="45"/>
      <c r="P416" s="45"/>
      <c r="Q416" s="45"/>
      <c r="R416" s="45"/>
      <c r="S416" s="45"/>
      <c r="T416" s="45"/>
      <c r="U416" s="45"/>
      <c r="V416" s="45"/>
      <c r="W416" s="45"/>
      <c r="X416" s="45"/>
      <c r="Y416" s="45"/>
      <c r="Z416" s="45"/>
    </row>
    <row r="417" spans="6:26" ht="11.25" customHeight="1" x14ac:dyDescent="0.15">
      <c r="F417" s="45"/>
      <c r="G417" s="45"/>
      <c r="H417" s="45"/>
      <c r="I417" s="45"/>
      <c r="J417" s="45"/>
      <c r="K417" s="45"/>
      <c r="L417" s="45"/>
      <c r="M417" s="45"/>
      <c r="N417" s="45"/>
      <c r="O417" s="45"/>
      <c r="P417" s="45"/>
      <c r="Q417" s="45"/>
      <c r="R417" s="45"/>
      <c r="S417" s="45"/>
      <c r="T417" s="45"/>
      <c r="U417" s="45"/>
      <c r="V417" s="45"/>
      <c r="W417" s="45"/>
      <c r="X417" s="45"/>
      <c r="Y417" s="45"/>
      <c r="Z417" s="45"/>
    </row>
    <row r="418" spans="6:26" ht="11.25" customHeight="1" x14ac:dyDescent="0.15">
      <c r="F418" s="45"/>
      <c r="G418" s="45"/>
      <c r="H418" s="45"/>
      <c r="I418" s="45"/>
      <c r="J418" s="45"/>
      <c r="K418" s="45"/>
      <c r="L418" s="45"/>
      <c r="M418" s="45"/>
      <c r="N418" s="45"/>
      <c r="O418" s="45"/>
      <c r="P418" s="45"/>
      <c r="Q418" s="45"/>
      <c r="R418" s="45"/>
      <c r="S418" s="45"/>
      <c r="T418" s="45"/>
      <c r="U418" s="45"/>
      <c r="V418" s="45"/>
      <c r="W418" s="45"/>
      <c r="X418" s="45"/>
      <c r="Y418" s="45"/>
      <c r="Z418" s="45"/>
    </row>
    <row r="419" spans="6:26" ht="11.25" customHeight="1" x14ac:dyDescent="0.15">
      <c r="F419" s="45"/>
      <c r="G419" s="45"/>
      <c r="H419" s="45"/>
      <c r="I419" s="45"/>
      <c r="J419" s="45"/>
      <c r="K419" s="45"/>
      <c r="L419" s="45"/>
      <c r="M419" s="45"/>
      <c r="N419" s="45"/>
      <c r="O419" s="45"/>
      <c r="P419" s="45"/>
      <c r="Q419" s="45"/>
      <c r="R419" s="45"/>
      <c r="S419" s="45"/>
      <c r="T419" s="45"/>
      <c r="U419" s="45"/>
      <c r="V419" s="45"/>
      <c r="W419" s="45"/>
      <c r="X419" s="45"/>
      <c r="Y419" s="45"/>
      <c r="Z419" s="45"/>
    </row>
    <row r="420" spans="6:26" ht="11.25" customHeight="1" x14ac:dyDescent="0.15">
      <c r="F420" s="45"/>
      <c r="G420" s="45"/>
      <c r="H420" s="45"/>
      <c r="I420" s="45"/>
      <c r="J420" s="45"/>
      <c r="K420" s="45"/>
      <c r="L420" s="45"/>
      <c r="M420" s="45"/>
      <c r="N420" s="45"/>
      <c r="O420" s="45"/>
      <c r="P420" s="45"/>
      <c r="Q420" s="45"/>
      <c r="R420" s="45"/>
      <c r="S420" s="45"/>
      <c r="T420" s="45"/>
      <c r="U420" s="45"/>
      <c r="V420" s="45"/>
      <c r="W420" s="45"/>
      <c r="X420" s="45"/>
      <c r="Y420" s="45"/>
      <c r="Z420" s="45"/>
    </row>
    <row r="421" spans="6:26" ht="11.25" customHeight="1" x14ac:dyDescent="0.15">
      <c r="F421" s="45"/>
      <c r="G421" s="45"/>
      <c r="H421" s="45"/>
      <c r="I421" s="45"/>
      <c r="J421" s="45"/>
      <c r="K421" s="45"/>
      <c r="L421" s="45"/>
      <c r="M421" s="45"/>
      <c r="N421" s="45"/>
      <c r="O421" s="45"/>
      <c r="P421" s="45"/>
      <c r="Q421" s="45"/>
      <c r="R421" s="45"/>
      <c r="S421" s="45"/>
      <c r="T421" s="45"/>
      <c r="U421" s="45"/>
      <c r="V421" s="45"/>
      <c r="W421" s="45"/>
      <c r="X421" s="45"/>
      <c r="Y421" s="45"/>
      <c r="Z421" s="45"/>
    </row>
    <row r="422" spans="6:26" ht="11.25" customHeight="1" x14ac:dyDescent="0.15">
      <c r="F422" s="45"/>
      <c r="G422" s="45"/>
      <c r="H422" s="45"/>
      <c r="I422" s="45"/>
      <c r="J422" s="45"/>
      <c r="K422" s="45"/>
      <c r="L422" s="45"/>
      <c r="M422" s="45"/>
      <c r="N422" s="45"/>
      <c r="O422" s="45"/>
      <c r="P422" s="45"/>
      <c r="Q422" s="45"/>
      <c r="R422" s="45"/>
      <c r="S422" s="45"/>
      <c r="T422" s="45"/>
      <c r="U422" s="45"/>
      <c r="V422" s="45"/>
      <c r="W422" s="45"/>
      <c r="X422" s="45"/>
      <c r="Y422" s="45"/>
      <c r="Z422" s="45"/>
    </row>
    <row r="423" spans="6:26" ht="11.25" customHeight="1" x14ac:dyDescent="0.15">
      <c r="F423" s="45"/>
      <c r="G423" s="45"/>
      <c r="H423" s="45"/>
      <c r="I423" s="45"/>
      <c r="J423" s="45"/>
      <c r="K423" s="45"/>
      <c r="L423" s="45"/>
      <c r="M423" s="45"/>
      <c r="N423" s="45"/>
      <c r="O423" s="45"/>
      <c r="P423" s="45"/>
      <c r="Q423" s="45"/>
      <c r="R423" s="45"/>
      <c r="S423" s="45"/>
      <c r="T423" s="45"/>
      <c r="U423" s="45"/>
      <c r="V423" s="45"/>
      <c r="W423" s="45"/>
      <c r="X423" s="45"/>
      <c r="Y423" s="45"/>
      <c r="Z423" s="45"/>
    </row>
    <row r="424" spans="6:26" ht="11.25" customHeight="1" x14ac:dyDescent="0.15">
      <c r="F424" s="45"/>
      <c r="G424" s="45"/>
      <c r="H424" s="45"/>
      <c r="I424" s="45"/>
      <c r="J424" s="45"/>
      <c r="K424" s="45"/>
      <c r="L424" s="45"/>
      <c r="M424" s="45"/>
      <c r="N424" s="45"/>
      <c r="O424" s="45"/>
      <c r="P424" s="45"/>
      <c r="Q424" s="45"/>
      <c r="R424" s="45"/>
      <c r="S424" s="45"/>
      <c r="T424" s="45"/>
      <c r="U424" s="45"/>
      <c r="V424" s="45"/>
      <c r="W424" s="45"/>
      <c r="X424" s="45"/>
      <c r="Y424" s="45"/>
      <c r="Z424" s="45"/>
    </row>
    <row r="425" spans="6:26" ht="11.25" customHeight="1" x14ac:dyDescent="0.15">
      <c r="F425" s="45"/>
      <c r="G425" s="45"/>
      <c r="H425" s="45"/>
      <c r="I425" s="45"/>
      <c r="J425" s="45"/>
      <c r="K425" s="45"/>
      <c r="L425" s="45"/>
      <c r="M425" s="45"/>
      <c r="N425" s="45"/>
      <c r="O425" s="45"/>
      <c r="P425" s="45"/>
      <c r="Q425" s="45"/>
      <c r="R425" s="45"/>
      <c r="S425" s="45"/>
      <c r="T425" s="45"/>
      <c r="U425" s="45"/>
      <c r="V425" s="45"/>
      <c r="W425" s="45"/>
      <c r="X425" s="45"/>
      <c r="Y425" s="45"/>
      <c r="Z425" s="45"/>
    </row>
    <row r="426" spans="6:26" ht="11.25" customHeight="1" x14ac:dyDescent="0.15"/>
    <row r="427" spans="6:26" ht="11.25" customHeight="1" x14ac:dyDescent="0.15"/>
    <row r="428" spans="6:26" ht="11.25" customHeight="1" x14ac:dyDescent="0.15"/>
    <row r="429" spans="6:26" ht="11.25" customHeight="1" x14ac:dyDescent="0.15"/>
    <row r="430" spans="6:26" ht="11.25" customHeight="1" x14ac:dyDescent="0.15"/>
    <row r="431" spans="6:26" ht="11.25" customHeight="1" x14ac:dyDescent="0.15"/>
    <row r="432" spans="6:26"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row r="519" ht="11.25" customHeight="1" x14ac:dyDescent="0.15"/>
    <row r="520" ht="11.25" customHeight="1" x14ac:dyDescent="0.15"/>
    <row r="521" ht="11.25" customHeight="1" x14ac:dyDescent="0.15"/>
    <row r="522" ht="11.25" customHeight="1" x14ac:dyDescent="0.15"/>
    <row r="523" ht="11.25" customHeight="1" x14ac:dyDescent="0.15"/>
    <row r="524" ht="11.25" customHeight="1" x14ac:dyDescent="0.15"/>
    <row r="525" ht="11.25" customHeight="1" x14ac:dyDescent="0.15"/>
    <row r="526" ht="11.25" customHeight="1" x14ac:dyDescent="0.15"/>
    <row r="527" ht="11.25" customHeight="1" x14ac:dyDescent="0.15"/>
    <row r="528" ht="11.25" customHeight="1" x14ac:dyDescent="0.15"/>
    <row r="529" ht="11.25" customHeight="1" x14ac:dyDescent="0.15"/>
    <row r="530" ht="11.25" customHeight="1" x14ac:dyDescent="0.15"/>
    <row r="531" ht="11.25" customHeight="1" x14ac:dyDescent="0.15"/>
    <row r="532" ht="11.25" customHeight="1" x14ac:dyDescent="0.15"/>
    <row r="533" ht="11.25" customHeight="1" x14ac:dyDescent="0.15"/>
    <row r="534" ht="11.25" customHeight="1" x14ac:dyDescent="0.15"/>
    <row r="535" ht="11.25" customHeight="1" x14ac:dyDescent="0.15"/>
    <row r="536" ht="11.25" customHeight="1" x14ac:dyDescent="0.15"/>
    <row r="537" ht="11.25" customHeight="1" x14ac:dyDescent="0.15"/>
    <row r="538" ht="11.25" customHeight="1" x14ac:dyDescent="0.15"/>
    <row r="539" ht="11.25" customHeight="1" x14ac:dyDescent="0.15"/>
    <row r="540" ht="11.25" customHeight="1" x14ac:dyDescent="0.15"/>
    <row r="541" ht="11.25" customHeight="1" x14ac:dyDescent="0.15"/>
    <row r="542" ht="11.25" customHeight="1" x14ac:dyDescent="0.15"/>
    <row r="543" ht="11.25" customHeight="1" x14ac:dyDescent="0.15"/>
    <row r="544" ht="11.25" customHeight="1" x14ac:dyDescent="0.15"/>
    <row r="545" ht="11.25" customHeight="1" x14ac:dyDescent="0.15"/>
    <row r="546" ht="11.25" customHeight="1" x14ac:dyDescent="0.15"/>
    <row r="547" ht="11.25" customHeight="1" x14ac:dyDescent="0.15"/>
    <row r="548" ht="11.25" customHeight="1" x14ac:dyDescent="0.15"/>
    <row r="549" ht="11.25" customHeight="1" x14ac:dyDescent="0.15"/>
    <row r="550" ht="11.25" customHeight="1" x14ac:dyDescent="0.15"/>
    <row r="551" ht="11.25" customHeight="1" x14ac:dyDescent="0.15"/>
    <row r="552" ht="11.25" customHeight="1" x14ac:dyDescent="0.15"/>
    <row r="553" ht="11.25" customHeight="1" x14ac:dyDescent="0.15"/>
    <row r="554" ht="11.25" customHeight="1" x14ac:dyDescent="0.15"/>
    <row r="555" ht="11.25" customHeight="1" x14ac:dyDescent="0.15"/>
    <row r="556" ht="11.25" customHeight="1" x14ac:dyDescent="0.15"/>
    <row r="557" ht="11.25" customHeight="1" x14ac:dyDescent="0.15"/>
    <row r="558" ht="11.25" customHeight="1" x14ac:dyDescent="0.15"/>
    <row r="559" ht="11.25" customHeight="1" x14ac:dyDescent="0.15"/>
    <row r="560" ht="11.25" customHeight="1" x14ac:dyDescent="0.15"/>
    <row r="561" ht="11.25" customHeight="1" x14ac:dyDescent="0.15"/>
    <row r="562" ht="11.25" customHeight="1" x14ac:dyDescent="0.15"/>
    <row r="563" ht="11.25" customHeight="1" x14ac:dyDescent="0.15"/>
    <row r="564" ht="11.25" customHeight="1" x14ac:dyDescent="0.15"/>
    <row r="565" ht="11.25" customHeight="1" x14ac:dyDescent="0.15"/>
    <row r="566" ht="11.25" customHeight="1" x14ac:dyDescent="0.15"/>
    <row r="567" ht="11.25" customHeight="1" x14ac:dyDescent="0.15"/>
    <row r="568" ht="11.25" customHeight="1" x14ac:dyDescent="0.15"/>
    <row r="569" ht="11.25" customHeight="1" x14ac:dyDescent="0.15"/>
    <row r="570" ht="11.25" customHeight="1" x14ac:dyDescent="0.15"/>
    <row r="571" ht="11.25" customHeight="1" x14ac:dyDescent="0.15"/>
    <row r="572" ht="11.25" customHeight="1" x14ac:dyDescent="0.15"/>
    <row r="573" ht="11.25" customHeight="1" x14ac:dyDescent="0.15"/>
    <row r="574" ht="11.25" customHeight="1" x14ac:dyDescent="0.15"/>
    <row r="575" ht="11.25" customHeight="1" x14ac:dyDescent="0.15"/>
    <row r="576" ht="11.25" customHeight="1" x14ac:dyDescent="0.15"/>
    <row r="577" ht="11.25" customHeight="1" x14ac:dyDescent="0.15"/>
    <row r="578" ht="11.25" customHeight="1" x14ac:dyDescent="0.15"/>
    <row r="579" ht="11.25" customHeight="1" x14ac:dyDescent="0.15"/>
    <row r="580" ht="11.25" customHeight="1" x14ac:dyDescent="0.15"/>
    <row r="581" ht="11.25" customHeight="1" x14ac:dyDescent="0.15"/>
    <row r="582" ht="11.25" customHeight="1" x14ac:dyDescent="0.15"/>
    <row r="583" ht="11.25" customHeight="1" x14ac:dyDescent="0.15"/>
    <row r="584" ht="11.25" customHeight="1" x14ac:dyDescent="0.15"/>
    <row r="585" ht="11.25" customHeight="1" x14ac:dyDescent="0.15"/>
    <row r="586" ht="11.25" customHeight="1" x14ac:dyDescent="0.15"/>
    <row r="587" ht="11.25" customHeight="1" x14ac:dyDescent="0.15"/>
    <row r="588" ht="11.25" customHeight="1" x14ac:dyDescent="0.15"/>
    <row r="589" ht="11.25" customHeight="1" x14ac:dyDescent="0.15"/>
    <row r="590" ht="11.25" customHeight="1" x14ac:dyDescent="0.15"/>
    <row r="591" ht="11.25" customHeight="1" x14ac:dyDescent="0.15"/>
    <row r="592" ht="11.25" customHeight="1" x14ac:dyDescent="0.15"/>
    <row r="593" ht="11.25" customHeight="1" x14ac:dyDescent="0.15"/>
    <row r="594" ht="11.25" customHeight="1" x14ac:dyDescent="0.15"/>
    <row r="595" ht="11.25" customHeight="1" x14ac:dyDescent="0.15"/>
    <row r="596" ht="11.25" customHeight="1" x14ac:dyDescent="0.15"/>
    <row r="597" ht="11.25" customHeight="1" x14ac:dyDescent="0.15"/>
    <row r="598" ht="11.25" customHeight="1" x14ac:dyDescent="0.15"/>
    <row r="599" ht="11.25" customHeight="1" x14ac:dyDescent="0.15"/>
    <row r="600" ht="11.25" customHeight="1" x14ac:dyDescent="0.15"/>
    <row r="601" ht="11.25" customHeight="1" x14ac:dyDescent="0.15"/>
    <row r="602" ht="11.25" customHeight="1" x14ac:dyDescent="0.15"/>
    <row r="603" ht="11.25" customHeight="1" x14ac:dyDescent="0.15"/>
    <row r="604" ht="11.25" customHeight="1" x14ac:dyDescent="0.15"/>
    <row r="605" ht="11.25" customHeight="1" x14ac:dyDescent="0.15"/>
    <row r="606" ht="11.25" customHeight="1" x14ac:dyDescent="0.15"/>
    <row r="607" ht="11.25" customHeight="1" x14ac:dyDescent="0.15"/>
    <row r="608" ht="11.25" customHeight="1" x14ac:dyDescent="0.15"/>
    <row r="609" ht="11.25" customHeight="1" x14ac:dyDescent="0.15"/>
    <row r="610" ht="11.25" customHeight="1" x14ac:dyDescent="0.15"/>
    <row r="611" ht="11.25" customHeight="1" x14ac:dyDescent="0.15"/>
    <row r="612" ht="11.25" customHeight="1" x14ac:dyDescent="0.15"/>
    <row r="613" ht="11.25" customHeight="1" x14ac:dyDescent="0.15"/>
    <row r="614" ht="11.25" customHeight="1" x14ac:dyDescent="0.15"/>
    <row r="615" ht="11.25" customHeight="1" x14ac:dyDescent="0.15"/>
    <row r="616" ht="11.25" customHeight="1" x14ac:dyDescent="0.15"/>
    <row r="617" ht="11.25" customHeight="1" x14ac:dyDescent="0.15"/>
    <row r="618" ht="11.25" customHeight="1" x14ac:dyDescent="0.15"/>
    <row r="619" ht="11.25" customHeight="1" x14ac:dyDescent="0.15"/>
    <row r="620" ht="11.25" customHeight="1" x14ac:dyDescent="0.15"/>
    <row r="621" ht="11.25" customHeight="1" x14ac:dyDescent="0.15"/>
    <row r="622" ht="11.25" customHeight="1" x14ac:dyDescent="0.15"/>
    <row r="623" ht="11.25" customHeight="1" x14ac:dyDescent="0.15"/>
    <row r="624" ht="11.25" customHeight="1" x14ac:dyDescent="0.15"/>
    <row r="625" ht="11.25" customHeight="1" x14ac:dyDescent="0.15"/>
    <row r="626" ht="11.25" customHeight="1" x14ac:dyDescent="0.15"/>
    <row r="627" ht="11.25" customHeight="1" x14ac:dyDescent="0.15"/>
    <row r="628" ht="11.25" customHeight="1" x14ac:dyDescent="0.15"/>
    <row r="629" ht="11.25" customHeight="1" x14ac:dyDescent="0.15"/>
    <row r="630" ht="11.25" customHeight="1" x14ac:dyDescent="0.15"/>
    <row r="631" ht="11.25" customHeight="1" x14ac:dyDescent="0.15"/>
    <row r="632" ht="11.25" customHeight="1" x14ac:dyDescent="0.15"/>
    <row r="633" ht="11.25" customHeight="1" x14ac:dyDescent="0.15"/>
    <row r="634" ht="11.25" customHeight="1" x14ac:dyDescent="0.15"/>
    <row r="635" ht="11.25" customHeight="1" x14ac:dyDescent="0.15"/>
    <row r="636" ht="11.25" customHeight="1" x14ac:dyDescent="0.15"/>
    <row r="637" ht="11.25" customHeight="1" x14ac:dyDescent="0.15"/>
    <row r="638" ht="11.25" customHeight="1" x14ac:dyDescent="0.15"/>
    <row r="639" ht="11.25" customHeight="1" x14ac:dyDescent="0.15"/>
    <row r="640" ht="11.25" customHeight="1" x14ac:dyDescent="0.15"/>
    <row r="641" ht="11.25" customHeight="1" x14ac:dyDescent="0.15"/>
    <row r="642" ht="11.25" customHeight="1" x14ac:dyDescent="0.15"/>
    <row r="643" ht="11.25" customHeight="1" x14ac:dyDescent="0.15"/>
    <row r="644" ht="11.25" customHeight="1" x14ac:dyDescent="0.15"/>
    <row r="645" ht="11.25" customHeight="1" x14ac:dyDescent="0.15"/>
    <row r="646" ht="11.25" customHeight="1" x14ac:dyDescent="0.15"/>
    <row r="647" ht="11.25" customHeight="1" x14ac:dyDescent="0.15"/>
    <row r="648" ht="11.25" customHeight="1" x14ac:dyDescent="0.15"/>
    <row r="649" ht="11.25" customHeight="1" x14ac:dyDescent="0.15"/>
    <row r="650" ht="11.25" customHeight="1" x14ac:dyDescent="0.15"/>
    <row r="651" ht="11.25" customHeight="1" x14ac:dyDescent="0.15"/>
    <row r="652" ht="11.25" customHeight="1" x14ac:dyDescent="0.15"/>
    <row r="653" ht="11.25" customHeight="1" x14ac:dyDescent="0.15"/>
    <row r="654" ht="11.25" customHeight="1" x14ac:dyDescent="0.15"/>
    <row r="655" ht="11.25" customHeight="1" x14ac:dyDescent="0.15"/>
    <row r="656" ht="11.25" customHeight="1" x14ac:dyDescent="0.15"/>
    <row r="657" ht="11.25" customHeight="1" x14ac:dyDescent="0.15"/>
    <row r="658" ht="11.25" customHeight="1" x14ac:dyDescent="0.15"/>
    <row r="659" ht="11.25" customHeight="1" x14ac:dyDescent="0.15"/>
    <row r="660" ht="11.25" customHeight="1" x14ac:dyDescent="0.15"/>
    <row r="661" ht="11.25" customHeight="1" x14ac:dyDescent="0.15"/>
    <row r="662" ht="11.25" customHeight="1" x14ac:dyDescent="0.15"/>
    <row r="663" ht="11.25" customHeight="1" x14ac:dyDescent="0.15"/>
    <row r="664" ht="11.25" customHeight="1" x14ac:dyDescent="0.15"/>
    <row r="665" ht="11.25" customHeight="1" x14ac:dyDescent="0.15"/>
    <row r="666" ht="11.25" customHeight="1" x14ac:dyDescent="0.15"/>
    <row r="667" ht="11.25" customHeight="1" x14ac:dyDescent="0.15"/>
    <row r="668" ht="11.25" customHeight="1" x14ac:dyDescent="0.15"/>
    <row r="669" ht="11.25" customHeight="1" x14ac:dyDescent="0.15"/>
    <row r="670" ht="11.25" customHeight="1" x14ac:dyDescent="0.15"/>
    <row r="671" ht="11.25" customHeight="1" x14ac:dyDescent="0.15"/>
    <row r="672" ht="11.25" customHeight="1" x14ac:dyDescent="0.15"/>
    <row r="673" ht="11.25" customHeight="1" x14ac:dyDescent="0.15"/>
    <row r="674" ht="11.25" customHeight="1" x14ac:dyDescent="0.15"/>
    <row r="675" ht="11.25" customHeight="1" x14ac:dyDescent="0.15"/>
    <row r="676" ht="11.25" customHeight="1" x14ac:dyDescent="0.15"/>
    <row r="677" ht="11.25" customHeight="1" x14ac:dyDescent="0.15"/>
    <row r="678" ht="11.25" customHeight="1" x14ac:dyDescent="0.15"/>
    <row r="679" ht="11.25" customHeight="1" x14ac:dyDescent="0.15"/>
    <row r="680" ht="11.25" customHeight="1" x14ac:dyDescent="0.15"/>
    <row r="681" ht="11.25" customHeight="1" x14ac:dyDescent="0.15"/>
    <row r="682" ht="11.25" customHeight="1" x14ac:dyDescent="0.15"/>
    <row r="683" ht="11.25" customHeight="1" x14ac:dyDescent="0.15"/>
    <row r="684" ht="11.25" customHeight="1" x14ac:dyDescent="0.15"/>
    <row r="685" ht="11.25" customHeight="1" x14ac:dyDescent="0.15"/>
    <row r="686" ht="11.25" customHeight="1" x14ac:dyDescent="0.15"/>
    <row r="687" ht="11.25" customHeight="1" x14ac:dyDescent="0.15"/>
    <row r="688" ht="11.25" customHeight="1" x14ac:dyDescent="0.15"/>
    <row r="689" ht="11.25" customHeight="1" x14ac:dyDescent="0.15"/>
    <row r="690" ht="11.25" customHeight="1" x14ac:dyDescent="0.15"/>
    <row r="691" ht="11.25" customHeight="1" x14ac:dyDescent="0.15"/>
    <row r="692" ht="11.25" customHeight="1" x14ac:dyDescent="0.15"/>
    <row r="693" ht="11.25" customHeight="1" x14ac:dyDescent="0.15"/>
    <row r="694" ht="11.25" customHeight="1" x14ac:dyDescent="0.15"/>
    <row r="695" ht="11.25" customHeight="1" x14ac:dyDescent="0.15"/>
    <row r="696" ht="11.25" customHeight="1" x14ac:dyDescent="0.15"/>
    <row r="697" ht="11.25" customHeight="1" x14ac:dyDescent="0.15"/>
    <row r="698" ht="11.25" customHeight="1" x14ac:dyDescent="0.15"/>
    <row r="699" ht="11.25" customHeight="1" x14ac:dyDescent="0.15"/>
    <row r="700" ht="11.25" customHeight="1" x14ac:dyDescent="0.15"/>
    <row r="701" ht="11.25" customHeight="1" x14ac:dyDescent="0.15"/>
    <row r="702" ht="11.25" customHeight="1" x14ac:dyDescent="0.15"/>
    <row r="703" ht="11.25" customHeight="1" x14ac:dyDescent="0.15"/>
    <row r="704" ht="11.25" customHeight="1" x14ac:dyDescent="0.15"/>
    <row r="705" ht="11.25" customHeight="1" x14ac:dyDescent="0.15"/>
    <row r="706" ht="11.25" customHeight="1" x14ac:dyDescent="0.15"/>
    <row r="707" ht="11.25" customHeight="1" x14ac:dyDescent="0.15"/>
    <row r="708" ht="11.25" customHeight="1" x14ac:dyDescent="0.15"/>
    <row r="709" ht="11.25" customHeight="1" x14ac:dyDescent="0.15"/>
    <row r="710" ht="11.25" customHeight="1" x14ac:dyDescent="0.15"/>
    <row r="711" ht="11.25" customHeight="1" x14ac:dyDescent="0.15"/>
    <row r="712" ht="11.25" customHeight="1" x14ac:dyDescent="0.15"/>
    <row r="713" ht="11.25" customHeight="1" x14ac:dyDescent="0.15"/>
    <row r="714" ht="11.25" customHeight="1" x14ac:dyDescent="0.15"/>
    <row r="715" ht="11.25" customHeight="1" x14ac:dyDescent="0.15"/>
    <row r="716" ht="11.25" customHeight="1" x14ac:dyDescent="0.15"/>
    <row r="717" ht="11.25" customHeight="1" x14ac:dyDescent="0.15"/>
    <row r="718" ht="11.25" customHeight="1" x14ac:dyDescent="0.15"/>
    <row r="719" ht="11.25" customHeight="1" x14ac:dyDescent="0.15"/>
    <row r="720" ht="11.25" customHeight="1" x14ac:dyDescent="0.15"/>
    <row r="721" ht="11.25" customHeight="1" x14ac:dyDescent="0.15"/>
    <row r="722" ht="11.25" customHeight="1" x14ac:dyDescent="0.15"/>
    <row r="723" ht="11.25" customHeight="1" x14ac:dyDescent="0.15"/>
    <row r="724" ht="11.25" customHeight="1" x14ac:dyDescent="0.15"/>
    <row r="725" ht="11.25" customHeight="1" x14ac:dyDescent="0.15"/>
    <row r="726" ht="11.25" customHeight="1" x14ac:dyDescent="0.15"/>
    <row r="727" ht="11.25" customHeight="1" x14ac:dyDescent="0.15"/>
    <row r="728" ht="11.25" customHeight="1" x14ac:dyDescent="0.15"/>
    <row r="729" ht="11.25" customHeight="1" x14ac:dyDescent="0.15"/>
    <row r="730" ht="11.25" customHeight="1" x14ac:dyDescent="0.15"/>
    <row r="731" ht="11.25" customHeight="1" x14ac:dyDescent="0.15"/>
    <row r="732" ht="11.25" customHeight="1" x14ac:dyDescent="0.15"/>
    <row r="733" ht="11.25" customHeight="1" x14ac:dyDescent="0.15"/>
    <row r="734" ht="11.25" customHeight="1" x14ac:dyDescent="0.15"/>
    <row r="735" ht="11.25" customHeight="1" x14ac:dyDescent="0.15"/>
    <row r="736" ht="11.25" customHeight="1" x14ac:dyDescent="0.15"/>
    <row r="737" ht="11.25" customHeight="1" x14ac:dyDescent="0.15"/>
    <row r="738" ht="11.25" customHeight="1" x14ac:dyDescent="0.15"/>
    <row r="739" ht="11.25" customHeight="1" x14ac:dyDescent="0.15"/>
    <row r="740" ht="11.25" customHeight="1" x14ac:dyDescent="0.15"/>
    <row r="741" ht="11.25" customHeight="1" x14ac:dyDescent="0.15"/>
    <row r="742" ht="11.25" customHeight="1" x14ac:dyDescent="0.15"/>
    <row r="743" ht="11.25" customHeight="1" x14ac:dyDescent="0.15"/>
    <row r="744" ht="11.25" customHeight="1" x14ac:dyDescent="0.15"/>
    <row r="745" ht="11.25" customHeight="1" x14ac:dyDescent="0.15"/>
    <row r="746" ht="11.25" customHeight="1" x14ac:dyDescent="0.15"/>
    <row r="747" ht="11.25" customHeight="1" x14ac:dyDescent="0.15"/>
    <row r="748" ht="11.25" customHeight="1" x14ac:dyDescent="0.15"/>
    <row r="749" ht="11.25" customHeight="1" x14ac:dyDescent="0.15"/>
    <row r="750" ht="11.25" customHeight="1" x14ac:dyDescent="0.15"/>
    <row r="751" ht="11.25" customHeight="1" x14ac:dyDescent="0.15"/>
    <row r="752" ht="11.25" customHeight="1" x14ac:dyDescent="0.15"/>
    <row r="753" ht="11.25" customHeight="1" x14ac:dyDescent="0.15"/>
    <row r="754" ht="11.25" customHeight="1" x14ac:dyDescent="0.15"/>
    <row r="755" ht="11.25" customHeight="1" x14ac:dyDescent="0.15"/>
    <row r="756" ht="11.25" customHeight="1" x14ac:dyDescent="0.15"/>
    <row r="757" ht="11.25" customHeight="1" x14ac:dyDescent="0.15"/>
    <row r="758" ht="11.25" customHeight="1" x14ac:dyDescent="0.15"/>
    <row r="759" ht="11.25" customHeight="1" x14ac:dyDescent="0.15"/>
    <row r="760" ht="11.25" customHeight="1" x14ac:dyDescent="0.15"/>
    <row r="761" ht="11.25" customHeight="1" x14ac:dyDescent="0.15"/>
    <row r="762" ht="11.25" customHeight="1" x14ac:dyDescent="0.15"/>
    <row r="763" ht="11.25" customHeight="1" x14ac:dyDescent="0.15"/>
    <row r="764" ht="11.25" customHeight="1" x14ac:dyDescent="0.15"/>
    <row r="765" ht="11.25" customHeight="1" x14ac:dyDescent="0.15"/>
    <row r="766" ht="11.25" customHeight="1" x14ac:dyDescent="0.15"/>
    <row r="767" ht="11.25" customHeight="1" x14ac:dyDescent="0.15"/>
    <row r="768" ht="11.25" customHeight="1" x14ac:dyDescent="0.15"/>
    <row r="769" ht="11.25" customHeight="1" x14ac:dyDescent="0.15"/>
    <row r="770" ht="11.25" customHeight="1" x14ac:dyDescent="0.15"/>
    <row r="771" ht="11.25" customHeight="1" x14ac:dyDescent="0.15"/>
    <row r="772" ht="11.25" customHeight="1" x14ac:dyDescent="0.15"/>
    <row r="773" ht="11.25" customHeight="1" x14ac:dyDescent="0.15"/>
    <row r="774" ht="11.25" customHeight="1" x14ac:dyDescent="0.15"/>
    <row r="775" ht="11.25" customHeight="1" x14ac:dyDescent="0.15"/>
    <row r="776" ht="11.25" customHeight="1" x14ac:dyDescent="0.15"/>
    <row r="777" ht="11.25" customHeight="1" x14ac:dyDescent="0.15"/>
    <row r="778" ht="11.25" customHeight="1" x14ac:dyDescent="0.15"/>
    <row r="779" ht="11.25" customHeight="1" x14ac:dyDescent="0.15"/>
    <row r="780" ht="11.25" customHeight="1" x14ac:dyDescent="0.15"/>
    <row r="781" ht="11.25" customHeight="1" x14ac:dyDescent="0.15"/>
    <row r="782" ht="11.25" customHeight="1" x14ac:dyDescent="0.15"/>
    <row r="783" ht="11.25" customHeight="1" x14ac:dyDescent="0.15"/>
    <row r="784" ht="11.25" customHeight="1" x14ac:dyDescent="0.15"/>
    <row r="785" ht="11.25" customHeight="1" x14ac:dyDescent="0.15"/>
    <row r="786" ht="11.25" customHeight="1" x14ac:dyDescent="0.15"/>
    <row r="787" ht="11.25" customHeight="1" x14ac:dyDescent="0.15"/>
    <row r="788" ht="11.25" customHeight="1" x14ac:dyDescent="0.15"/>
    <row r="789" ht="11.25" customHeight="1" x14ac:dyDescent="0.15"/>
    <row r="790" ht="11.25" customHeight="1" x14ac:dyDescent="0.15"/>
    <row r="791" ht="11.25" customHeight="1" x14ac:dyDescent="0.15"/>
    <row r="792" ht="11.25" customHeight="1" x14ac:dyDescent="0.15"/>
    <row r="793" ht="11.25" customHeight="1" x14ac:dyDescent="0.15"/>
    <row r="794" ht="11.25" customHeight="1" x14ac:dyDescent="0.15"/>
    <row r="795" ht="11.25" customHeight="1" x14ac:dyDescent="0.15"/>
    <row r="796" ht="11.25" customHeight="1" x14ac:dyDescent="0.15"/>
    <row r="797" ht="11.25" customHeight="1" x14ac:dyDescent="0.15"/>
    <row r="798" ht="11.25" customHeight="1" x14ac:dyDescent="0.15"/>
    <row r="799" ht="11.25" customHeight="1" x14ac:dyDescent="0.15"/>
    <row r="800" ht="11.25" customHeight="1" x14ac:dyDescent="0.15"/>
    <row r="801" ht="11.25" customHeight="1" x14ac:dyDescent="0.15"/>
    <row r="802" ht="11.25" customHeight="1" x14ac:dyDescent="0.15"/>
    <row r="803" ht="11.25" customHeight="1" x14ac:dyDescent="0.15"/>
    <row r="804" ht="11.25" customHeight="1" x14ac:dyDescent="0.15"/>
    <row r="805" ht="11.25" customHeight="1" x14ac:dyDescent="0.15"/>
    <row r="806" ht="11.25" customHeight="1" x14ac:dyDescent="0.15"/>
    <row r="807" ht="11.25" customHeight="1" x14ac:dyDescent="0.15"/>
    <row r="808" ht="11.25" customHeight="1" x14ac:dyDescent="0.15"/>
    <row r="809" ht="11.25" customHeight="1" x14ac:dyDescent="0.15"/>
    <row r="810" ht="11.25" customHeight="1" x14ac:dyDescent="0.15"/>
    <row r="811" ht="11.25" customHeight="1" x14ac:dyDescent="0.15"/>
    <row r="812" ht="11.25" customHeight="1" x14ac:dyDescent="0.15"/>
    <row r="813" ht="11.25" customHeight="1" x14ac:dyDescent="0.15"/>
    <row r="814" ht="11.25" customHeight="1" x14ac:dyDescent="0.15"/>
    <row r="815" ht="11.25" customHeight="1" x14ac:dyDescent="0.15"/>
    <row r="816" ht="11.25" customHeight="1" x14ac:dyDescent="0.15"/>
    <row r="817" ht="11.25" customHeight="1" x14ac:dyDescent="0.15"/>
    <row r="818" ht="11.25" customHeight="1" x14ac:dyDescent="0.15"/>
    <row r="819" ht="11.25" customHeight="1" x14ac:dyDescent="0.15"/>
  </sheetData>
  <mergeCells count="17">
    <mergeCell ref="AA82:AH82"/>
    <mergeCell ref="S82:Z82"/>
    <mergeCell ref="L82:R82"/>
    <mergeCell ref="E82:K82"/>
    <mergeCell ref="G264:AB264"/>
    <mergeCell ref="G237:AB237"/>
    <mergeCell ref="AF3:AI3"/>
    <mergeCell ref="E1:O1"/>
    <mergeCell ref="R1:X1"/>
    <mergeCell ref="AA1:AE1"/>
    <mergeCell ref="AF1:AI1"/>
    <mergeCell ref="E2:O2"/>
    <mergeCell ref="R2:X3"/>
    <mergeCell ref="AA2:AE2"/>
    <mergeCell ref="AF2:AI2"/>
    <mergeCell ref="E3:O3"/>
    <mergeCell ref="AA3:AE3"/>
  </mergeCells>
  <phoneticPr fontId="2"/>
  <hyperlinks>
    <hyperlink ref="G165" r:id="rId1" location="eb-rule-triggered-more-than-once" xr:uid="{4BEAB959-9CE7-48EB-BEAB-E571280C2DC0}"/>
    <hyperlink ref="G170" r:id="rId2" location="StepFunctions-StartExecution-request-name" xr:uid="{DE4F8F7E-285D-4C0C-ADEE-CFF661993E7A}"/>
    <hyperlink ref="G207" r:id="rId3" xr:uid="{42556E5D-BC1B-49CF-BC97-835B976F6EA4}"/>
  </hyperlinks>
  <pageMargins left="0.7" right="0.7" top="0.75" bottom="0.75" header="0.3" footer="0.3"/>
  <pageSetup paperSize="9" fitToHeight="0" orientation="landscape" r:id="rId4"/>
  <rowBreaks count="12" manualBreakCount="12">
    <brk id="31" max="34" man="1"/>
    <brk id="77" max="34" man="1"/>
    <brk id="112" max="34" man="1"/>
    <brk id="151" max="34" man="1"/>
    <brk id="198" max="34" man="1"/>
    <brk id="229" max="34" man="1"/>
    <brk id="238" max="34" man="1"/>
    <brk id="259" max="34" man="1"/>
    <brk id="279" max="34" man="1"/>
    <brk id="360" max="34" man="1"/>
    <brk id="390" max="34" man="1"/>
    <brk id="238" max="34" man="1"/>
  </rowBreaks>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4.1.都度起動バッチ</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2025-04-21T01:50:12Z</dcterms:created>
  <dcterms:modified xsi:type="dcterms:W3CDTF">2025-04-21T01:50:18Z</dcterms:modified>
  <cp:category/>
  <cp:contentStatus/>
</cp:coreProperties>
</file>