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83182305-FD09-4359-916F-CD5D05D2ACF2}" xr6:coauthVersionLast="47" xr6:coauthVersionMax="47" xr10:uidLastSave="{00000000-0000-0000-0000-000000000000}"/>
  <bookViews>
    <workbookView xWindow="1245" yWindow="-120" windowWidth="27675" windowHeight="16440" xr2:uid="{00000000-000D-0000-FFFF-FFFF00000000}"/>
  </bookViews>
  <sheets>
    <sheet name="4.2.常駐バッチ" sheetId="4" r:id="rId1"/>
  </sheets>
  <definedNames>
    <definedName name="_xlnm.Print_Area" localSheetId="0">'4.2.常駐バッチ'!$A$1:$AI$124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4" l="1"/>
  <c r="C7" i="4" l="1"/>
  <c r="D85" i="4" l="1"/>
  <c r="D79" i="4"/>
  <c r="D9" i="4"/>
  <c r="D35" i="4"/>
  <c r="E74" i="4" s="1"/>
  <c r="E115" i="4" l="1"/>
  <c r="E97" i="4"/>
  <c r="E86" i="4"/>
  <c r="E15" i="4"/>
  <c r="E10" i="4"/>
  <c r="E53" i="4"/>
  <c r="E40" i="4"/>
  <c r="E36" i="4"/>
  <c r="F110" i="4" l="1"/>
  <c r="F99" i="4"/>
  <c r="F104" i="4"/>
</calcChain>
</file>

<file path=xl/sharedStrings.xml><?xml version="1.0" encoding="utf-8"?>
<sst xmlns="http://schemas.openxmlformats.org/spreadsheetml/2006/main" count="104" uniqueCount="103">
  <si>
    <t>工程</t>
    <rPh sb="0" eb="2">
      <t>コウテイ</t>
    </rPh>
    <phoneticPr fontId="4"/>
  </si>
  <si>
    <t>要件定義</t>
    <rPh sb="0" eb="4">
      <t>ヨウケンテイギ</t>
    </rPh>
    <phoneticPr fontId="2"/>
  </si>
  <si>
    <t>作成</t>
    <phoneticPr fontId="4"/>
  </si>
  <si>
    <t>システム名</t>
  </si>
  <si>
    <t>成果物名</t>
    <phoneticPr fontId="4"/>
  </si>
  <si>
    <t>アプリケーション方式設計書</t>
  </si>
  <si>
    <t>変更</t>
    <phoneticPr fontId="4"/>
  </si>
  <si>
    <t>サブシステム名</t>
  </si>
  <si>
    <t>確認</t>
    <phoneticPr fontId="4"/>
  </si>
  <si>
    <t>4.</t>
    <phoneticPr fontId="2"/>
  </si>
  <si>
    <t>バッチ処理方式</t>
    <rPh sb="3" eb="5">
      <t>ショリ</t>
    </rPh>
    <rPh sb="5" eb="7">
      <t>ホウシキ</t>
    </rPh>
    <phoneticPr fontId="2"/>
  </si>
  <si>
    <t>常駐バッチ</t>
    <rPh sb="0" eb="2">
      <t>ジョウチュウ</t>
    </rPh>
    <phoneticPr fontId="2"/>
  </si>
  <si>
    <t>処理方式概要</t>
    <phoneticPr fontId="2"/>
  </si>
  <si>
    <t>常駐バッチ概要</t>
    <rPh sb="0" eb="2">
      <t>ジョウチュウ</t>
    </rPh>
    <rPh sb="5" eb="7">
      <t>ガイヨウ</t>
    </rPh>
    <phoneticPr fontId="2"/>
  </si>
  <si>
    <t>プロセスを起動しておき、一定間隔でバッチ処理を実行する。 例えば、オンライン処理で作成された要求データを定期的に</t>
    <phoneticPr fontId="2"/>
  </si>
  <si>
    <t>一括処理するような場合に使用する。</t>
    <phoneticPr fontId="2"/>
  </si>
  <si>
    <t>本システムは、メール送信処理に常駐バッチを利用する。</t>
    <rPh sb="0" eb="1">
      <t>ホン</t>
    </rPh>
    <rPh sb="10" eb="12">
      <t>ソウシン</t>
    </rPh>
    <rPh sb="12" eb="14">
      <t>ショリ</t>
    </rPh>
    <rPh sb="15" eb="17">
      <t>ジョウチュウ</t>
    </rPh>
    <rPh sb="21" eb="23">
      <t>リヨウ</t>
    </rPh>
    <phoneticPr fontId="2"/>
  </si>
  <si>
    <t>常駐バッチ処理方式</t>
    <rPh sb="0" eb="2">
      <t>ジョウチュウ</t>
    </rPh>
    <rPh sb="5" eb="7">
      <t>ショリ</t>
    </rPh>
    <rPh sb="7" eb="9">
      <t>ホウシキ</t>
    </rPh>
    <phoneticPr fontId="2"/>
  </si>
  <si>
    <t>Nablarchでは、常駐バッチを実現する処理方式として以下の2つが用意されている。</t>
    <rPh sb="11" eb="13">
      <t>ジョウチュウ</t>
    </rPh>
    <rPh sb="17" eb="19">
      <t>ジツゲン</t>
    </rPh>
    <rPh sb="21" eb="25">
      <t>ショリホウシキ</t>
    </rPh>
    <rPh sb="28" eb="30">
      <t>イカ</t>
    </rPh>
    <rPh sb="34" eb="36">
      <t>ヨウイ</t>
    </rPh>
    <phoneticPr fontId="2"/>
  </si>
  <si>
    <t>処理方式</t>
    <rPh sb="0" eb="2">
      <t>ショリ</t>
    </rPh>
    <rPh sb="2" eb="4">
      <t>ホウシキ</t>
    </rPh>
    <phoneticPr fontId="2"/>
  </si>
  <si>
    <t>説明</t>
    <rPh sb="0" eb="2">
      <t>セツメイ</t>
    </rPh>
    <phoneticPr fontId="2"/>
  </si>
  <si>
    <t>プロセスを起動しておき、一定間隔でバッチ処理を実行する処理方式。
https://nablarch.github.io/docs/6u2/doc/application_framework/application_framework/batch/nablarch_batch/architecture.html#nablarch-batch-resident-batch</t>
    <rPh sb="27" eb="31">
      <t>ショリホウシキ</t>
    </rPh>
    <phoneticPr fontId="2"/>
  </si>
  <si>
    <t>テーブルをキューとして使ったメッセージング
（以下、キュー方式）</t>
    <rPh sb="11" eb="12">
      <t>ツカ</t>
    </rPh>
    <rPh sb="23" eb="25">
      <t>イカ</t>
    </rPh>
    <rPh sb="29" eb="31">
      <t>ホウシキ</t>
    </rPh>
    <phoneticPr fontId="2"/>
  </si>
  <si>
    <t>定期的にデータベース上のテーブルを監視し未処理のレコードを順次処理する処理方式。
https://nablarch.github.io/docs/6u2/doc/application_framework/application_framework/messaging/db/index.html</t>
    <rPh sb="35" eb="39">
      <t>ショリホウシキ</t>
    </rPh>
    <phoneticPr fontId="2"/>
  </si>
  <si>
    <t>マルチスレッドで動かしたときにNablarchの常駐バッチよりもキュー方式の方がパフォーマンス的に優れているため、</t>
    <rPh sb="8" eb="9">
      <t>ウゴ</t>
    </rPh>
    <rPh sb="24" eb="26">
      <t>ジョウチュウ</t>
    </rPh>
    <rPh sb="35" eb="37">
      <t>ホウシキ</t>
    </rPh>
    <rPh sb="38" eb="39">
      <t>ホウ</t>
    </rPh>
    <rPh sb="47" eb="48">
      <t>テキ</t>
    </rPh>
    <rPh sb="49" eb="50">
      <t>スグ</t>
    </rPh>
    <phoneticPr fontId="2"/>
  </si>
  <si>
    <t>新規プロジェクトではキュー方式を採用することがNablarchでは推奨されている。</t>
    <rPh sb="0" eb="2">
      <t>シンキ</t>
    </rPh>
    <rPh sb="13" eb="15">
      <t>ホウシキ</t>
    </rPh>
    <rPh sb="16" eb="18">
      <t>サイヨウ</t>
    </rPh>
    <rPh sb="33" eb="35">
      <t>スイショウ</t>
    </rPh>
    <phoneticPr fontId="2"/>
  </si>
  <si>
    <t>しかし、本プロジェクトのメール送信の要件では、マルチスレッドが必要になるような大量送信は想定されていない。</t>
    <rPh sb="4" eb="5">
      <t>ホン</t>
    </rPh>
    <rPh sb="15" eb="17">
      <t>ソウシン</t>
    </rPh>
    <rPh sb="18" eb="20">
      <t>ヨウケン</t>
    </rPh>
    <rPh sb="31" eb="33">
      <t>ヒツヨウ</t>
    </rPh>
    <rPh sb="39" eb="41">
      <t>タイリョウ</t>
    </rPh>
    <rPh sb="41" eb="43">
      <t>ソウシン</t>
    </rPh>
    <rPh sb="44" eb="46">
      <t>ソウテイ</t>
    </rPh>
    <phoneticPr fontId="2"/>
  </si>
  <si>
    <t>また、Nablarchの常駐バッチではメール送信の実装※がNablarchから提供されているため、実装のコストを</t>
    <rPh sb="12" eb="14">
      <t>ジョウチュウ</t>
    </rPh>
    <rPh sb="22" eb="24">
      <t>ソウシン</t>
    </rPh>
    <rPh sb="25" eb="27">
      <t>ジッソウ</t>
    </rPh>
    <rPh sb="39" eb="41">
      <t>テイキョウ</t>
    </rPh>
    <rPh sb="49" eb="51">
      <t>ジッソウ</t>
    </rPh>
    <phoneticPr fontId="2"/>
  </si>
  <si>
    <t>下げることができるメリットがある。</t>
    <phoneticPr fontId="2"/>
  </si>
  <si>
    <t>以上のことから、本プロジェクトでは常駐バッチの処理方式としてNablarchの常駐バッチを採用する。</t>
    <rPh sb="0" eb="2">
      <t>イジョウ</t>
    </rPh>
    <rPh sb="8" eb="9">
      <t>ホン</t>
    </rPh>
    <rPh sb="17" eb="19">
      <t>ジョウチュウ</t>
    </rPh>
    <rPh sb="23" eb="27">
      <t>ショリホウシキ</t>
    </rPh>
    <rPh sb="45" eb="47">
      <t>サイヨウ</t>
    </rPh>
    <phoneticPr fontId="2"/>
  </si>
  <si>
    <t>※メール送信の実装に関する説明は下記解説書を参照。</t>
    <rPh sb="4" eb="6">
      <t>ソウシン</t>
    </rPh>
    <rPh sb="7" eb="9">
      <t>ジッソウ</t>
    </rPh>
    <rPh sb="10" eb="11">
      <t>カン</t>
    </rPh>
    <rPh sb="13" eb="15">
      <t>セツメイ</t>
    </rPh>
    <rPh sb="16" eb="18">
      <t>カキ</t>
    </rPh>
    <rPh sb="18" eb="21">
      <t>カイセツショ</t>
    </rPh>
    <rPh sb="22" eb="24">
      <t>サンショウ</t>
    </rPh>
    <phoneticPr fontId="2"/>
  </si>
  <si>
    <t>https://nablarch.github.io/docs/6u2/doc/application_framework/application_framework/libraries/mail.html#mail-send</t>
    <phoneticPr fontId="2"/>
  </si>
  <si>
    <t>処理制御</t>
  </si>
  <si>
    <t>常駐バッチは、起動後にプロセスを常駐させ、データベースを定期的に監視し、</t>
    <rPh sb="0" eb="2">
      <t>ジョウチュウ</t>
    </rPh>
    <rPh sb="7" eb="9">
      <t>キドウ</t>
    </rPh>
    <rPh sb="9" eb="10">
      <t>ゴ</t>
    </rPh>
    <rPh sb="16" eb="18">
      <t>ジョウチュウ</t>
    </rPh>
    <rPh sb="28" eb="31">
      <t>テイキテキ</t>
    </rPh>
    <rPh sb="32" eb="34">
      <t>カンシ</t>
    </rPh>
    <phoneticPr fontId="2"/>
  </si>
  <si>
    <t>データベースに溜まった要求データをインプットデータとして一括実行する。</t>
    <rPh sb="7" eb="8">
      <t>タ</t>
    </rPh>
    <rPh sb="11" eb="13">
      <t>ヨウキュウ</t>
    </rPh>
    <rPh sb="28" eb="30">
      <t>イッカツ</t>
    </rPh>
    <phoneticPr fontId="2"/>
  </si>
  <si>
    <t>バッチ処理の起動</t>
    <rPh sb="3" eb="5">
      <t>ショリ</t>
    </rPh>
    <rPh sb="6" eb="8">
      <t>キドウ</t>
    </rPh>
    <phoneticPr fontId="2"/>
  </si>
  <si>
    <t>常駐バッチの起動方法は、その常駐バッチが日々定刻にスケジュール起動されるか24時間運用されるかによって異なる。</t>
    <rPh sb="0" eb="2">
      <t>ジョウチュウ</t>
    </rPh>
    <rPh sb="6" eb="10">
      <t>キドウホウホウ</t>
    </rPh>
    <rPh sb="14" eb="16">
      <t>ジョウチュウ</t>
    </rPh>
    <rPh sb="20" eb="22">
      <t>ヒビ</t>
    </rPh>
    <rPh sb="22" eb="24">
      <t>テイコク</t>
    </rPh>
    <rPh sb="31" eb="33">
      <t>キドウ</t>
    </rPh>
    <rPh sb="39" eb="41">
      <t>ジカン</t>
    </rPh>
    <rPh sb="41" eb="43">
      <t>ウンヨウ</t>
    </rPh>
    <rPh sb="51" eb="52">
      <t>コト</t>
    </rPh>
    <phoneticPr fontId="2"/>
  </si>
  <si>
    <t>日々定刻にスケジュール起動する場合は、「4.1.都度起動バッチ処理方式」と同様の構成を取る。</t>
  </si>
  <si>
    <t>このとき、定期的な起動はEventBridgeによって制御し、常駐バッチの処理はStep Functionsのワークフロー内でECSタスクとして実行する。</t>
    <rPh sb="5" eb="8">
      <t>テイキテキ</t>
    </rPh>
    <rPh sb="9" eb="11">
      <t>キドウ</t>
    </rPh>
    <rPh sb="27" eb="29">
      <t>セイギョ</t>
    </rPh>
    <rPh sb="31" eb="33">
      <t>ジョウチュウ</t>
    </rPh>
    <rPh sb="37" eb="39">
      <t>ショリ</t>
    </rPh>
    <rPh sb="61" eb="62">
      <t>ナイ</t>
    </rPh>
    <rPh sb="72" eb="74">
      <t>ジッコウ</t>
    </rPh>
    <phoneticPr fontId="2"/>
  </si>
  <si>
    <t>また、起動と同様に停止のジョブを定刻にスケジュール起動することで、常駐バッチの停止を行う。詳細は「4.2.2.3.バッチ処理の停止」を参照。</t>
    <phoneticPr fontId="2"/>
  </si>
  <si>
    <t>一方で24時間運用する常駐バッチの場合は、バッチアプリケーションを実行するECSタスクを登録したECSサービスを起動することで実行する。</t>
    <rPh sb="0" eb="2">
      <t>イッポウ</t>
    </rPh>
    <rPh sb="5" eb="7">
      <t>ジカン</t>
    </rPh>
    <rPh sb="7" eb="9">
      <t>ウンヨウ</t>
    </rPh>
    <rPh sb="11" eb="13">
      <t>ジョウチュウ</t>
    </rPh>
    <rPh sb="17" eb="19">
      <t>バアイ</t>
    </rPh>
    <rPh sb="33" eb="35">
      <t>ジッコウ</t>
    </rPh>
    <rPh sb="44" eb="46">
      <t>トウロク</t>
    </rPh>
    <rPh sb="56" eb="58">
      <t>キドウ</t>
    </rPh>
    <rPh sb="63" eb="65">
      <t>ジッコウ</t>
    </rPh>
    <phoneticPr fontId="2"/>
  </si>
  <si>
    <t>このとき、常駐バッチはECSサービス上で必要数(desiredCount)を1以上に設定して稼働させる。</t>
    <rPh sb="18" eb="19">
      <t>ジョウ</t>
    </rPh>
    <rPh sb="20" eb="23">
      <t>ヒツヨウスウ</t>
    </rPh>
    <rPh sb="39" eb="41">
      <t>イジョウ</t>
    </rPh>
    <rPh sb="42" eb="44">
      <t>セッテイ</t>
    </rPh>
    <rPh sb="46" eb="48">
      <t>カドウ</t>
    </rPh>
    <phoneticPr fontId="2"/>
  </si>
  <si>
    <t>これにより、バッチが異常終了した場合はECSサービスによって自動的に再起動が行われる。</t>
    <rPh sb="34" eb="35">
      <t>サイ</t>
    </rPh>
    <phoneticPr fontId="2"/>
  </si>
  <si>
    <t>なお、常駐バッチを負荷分散させる場合の起動方法については「7.12.1.負荷分散方針」を参照。</t>
    <rPh sb="3" eb="5">
      <t>ジョウチュウ</t>
    </rPh>
    <rPh sb="9" eb="13">
      <t>フカブンサン</t>
    </rPh>
    <rPh sb="16" eb="18">
      <t>バアイ</t>
    </rPh>
    <rPh sb="19" eb="23">
      <t>キドウホウホウ</t>
    </rPh>
    <rPh sb="36" eb="40">
      <t>フカブンサン</t>
    </rPh>
    <rPh sb="40" eb="42">
      <t>ホウシン</t>
    </rPh>
    <rPh sb="44" eb="46">
      <t>サンショウ</t>
    </rPh>
    <phoneticPr fontId="2"/>
  </si>
  <si>
    <t>バッチ処理の停止</t>
    <rPh sb="3" eb="5">
      <t>ショリ</t>
    </rPh>
    <rPh sb="6" eb="8">
      <t>テイシ</t>
    </rPh>
    <phoneticPr fontId="2"/>
  </si>
  <si>
    <t>常駐バッチの停止は、以下の手順で行う。</t>
    <rPh sb="0" eb="2">
      <t>ジョウチュウ</t>
    </rPh>
    <rPh sb="6" eb="8">
      <t>テイシ</t>
    </rPh>
    <rPh sb="10" eb="12">
      <t>イカ</t>
    </rPh>
    <rPh sb="13" eb="15">
      <t>テジュン</t>
    </rPh>
    <rPh sb="16" eb="17">
      <t>オコナ</t>
    </rPh>
    <phoneticPr fontId="2"/>
  </si>
  <si>
    <t>1.</t>
    <phoneticPr fontId="2"/>
  </si>
  <si>
    <t>常駐バッチプログラムを停止させる</t>
    <rPh sb="0" eb="2">
      <t>ジョウチュウ</t>
    </rPh>
    <rPh sb="11" eb="13">
      <t>テイシ</t>
    </rPh>
    <phoneticPr fontId="2"/>
  </si>
  <si>
    <t>2.</t>
    <phoneticPr fontId="2"/>
  </si>
  <si>
    <t>24時間運用している常駐バッチの場合は、常駐バッチを稼働しているECSサービスのタスクの必要数を0に更新する</t>
    <phoneticPr fontId="2"/>
  </si>
  <si>
    <t>まず最初に常駐バッチプログラムを停止させる方法について説明する。</t>
  </si>
  <si>
    <t>常駐プログラムが正常に動作している場合、処理停止フラグをオンにするジョブ(常駐バッチ停止ジョブ)を実行することで、</t>
    <phoneticPr fontId="2"/>
  </si>
  <si>
    <t>常駐ループを抜けてプログラムは終了する。</t>
    <phoneticPr fontId="2"/>
  </si>
  <si>
    <t>24時間運用する場合は、常駐バッチ停止ジョブを手動で実行する。</t>
  </si>
  <si>
    <t>ECSサービスによって再起動される。</t>
    <phoneticPr fontId="2"/>
  </si>
  <si>
    <t>このため、タスクの必要数を0に更新して再起動されないようにする。</t>
  </si>
  <si>
    <t xml:space="preserve">なお、プログラムが暴走状態に陥って 「処理停止ハンドラ」を通過できない場合、最終手段としてECSタスクを強制終了することになる。 </t>
    <rPh sb="11" eb="13">
      <t>ジョウタイ</t>
    </rPh>
    <phoneticPr fontId="2"/>
  </si>
  <si>
    <t>処理が途中で終了しているので、出力ログを参照してリカバリ処理を行う。</t>
    <phoneticPr fontId="2"/>
  </si>
  <si>
    <t>バッチアプリケーションの終了コード</t>
    <rPh sb="12" eb="14">
      <t>シュウリョウ</t>
    </rPh>
    <phoneticPr fontId="2"/>
  </si>
  <si>
    <t>都度起動バッチと異なり、常駐バッチは常駐プロセスとなるため、終了コードを返却することはない。</t>
    <rPh sb="0" eb="2">
      <t>ツド</t>
    </rPh>
    <rPh sb="2" eb="4">
      <t>キドウ</t>
    </rPh>
    <rPh sb="8" eb="9">
      <t>コト</t>
    </rPh>
    <rPh sb="12" eb="14">
      <t>ジョウチュウ</t>
    </rPh>
    <rPh sb="18" eb="20">
      <t>ジョウチュウ</t>
    </rPh>
    <rPh sb="30" eb="32">
      <t>シュウリョウ</t>
    </rPh>
    <rPh sb="36" eb="38">
      <t>ヘンキャク</t>
    </rPh>
    <phoneticPr fontId="2"/>
  </si>
  <si>
    <t>代わりに、常駐バッチは死活監視対象とすることで常駐バッチの状態を管理することになる。</t>
    <rPh sb="0" eb="1">
      <t>カ</t>
    </rPh>
    <rPh sb="5" eb="7">
      <t>ジョウチュウ</t>
    </rPh>
    <rPh sb="11" eb="13">
      <t>シカツ</t>
    </rPh>
    <rPh sb="13" eb="15">
      <t>カンシ</t>
    </rPh>
    <rPh sb="15" eb="17">
      <t>タイショウ</t>
    </rPh>
    <rPh sb="23" eb="25">
      <t>ジョウチュウ</t>
    </rPh>
    <rPh sb="29" eb="31">
      <t>ジョウタイ</t>
    </rPh>
    <rPh sb="32" eb="34">
      <t>カンリ</t>
    </rPh>
    <phoneticPr fontId="2"/>
  </si>
  <si>
    <t>コミット間隔</t>
    <phoneticPr fontId="2"/>
  </si>
  <si>
    <t>常駐バッチはオンライン処理中にデータ変更と連動して非同期に処理するものが多い。</t>
  </si>
  <si>
    <t>オンライン処理でリアルタイムに実施するには負荷の大きな処理をバックエンドで実施する意味合いが強い。</t>
  </si>
  <si>
    <t>従って、原則として常駐バッチにおいてはコミット間隔を1に標準設定する。</t>
  </si>
  <si>
    <t>エラー処理</t>
    <phoneticPr fontId="2"/>
  </si>
  <si>
    <t>エラーの種類</t>
    <phoneticPr fontId="2"/>
  </si>
  <si>
    <t>本システムでは、エラーの種類を下記の２種類に分類する。</t>
  </si>
  <si>
    <t>①</t>
    <phoneticPr fontId="2"/>
  </si>
  <si>
    <t>業務エラー</t>
    <phoneticPr fontId="2"/>
  </si>
  <si>
    <t>入力値（入力したDBデータやファイル等）として不正な値を受け取った場合のエラー。</t>
    <rPh sb="4" eb="6">
      <t>ニュウリョク</t>
    </rPh>
    <rPh sb="28" eb="29">
      <t>ウ</t>
    </rPh>
    <rPh sb="30" eb="31">
      <t>ト</t>
    </rPh>
    <phoneticPr fontId="2"/>
  </si>
  <si>
    <t>このエラーは、予期可能なエラーであり、多くは業務処理の中で行う精査処理で発生する。</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</si>
  <si>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</si>
  <si>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</si>
  <si>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</si>
  <si>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</si>
  <si>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</si>
  <si>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</si>
  <si>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</si>
  <si>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</si>
  <si>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使用する場合）や、業務エラーをトリガーとして業務処理を行う必要が有る場合はこの限りではない。</t>
    <phoneticPr fontId="2"/>
  </si>
  <si>
    <t>トランザクションのロールバック</t>
    <phoneticPr fontId="2"/>
  </si>
  <si>
    <t>エラー発生時には現在のトランザクションをロールバックし、更新途中の内容は破棄する。これにより、</t>
    <rPh sb="30" eb="32">
      <t>トチュウ</t>
    </rPh>
    <rPh sb="33" eb="35">
      <t>ナイヨウ</t>
    </rPh>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</si>
  <si>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</si>
  <si>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</si>
  <si>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</si>
  <si>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</si>
  <si>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</si>
  <si>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</si>
  <si>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ログ出力内容の詳細は「7.13.ログ」を参照。</t>
    <phoneticPr fontId="2"/>
  </si>
  <si>
    <t>エラー発生時の処理</t>
    <rPh sb="3" eb="5">
      <t>ハッセイ</t>
    </rPh>
    <rPh sb="5" eb="6">
      <t>ジ</t>
    </rPh>
    <rPh sb="7" eb="9">
      <t>ショリ</t>
    </rPh>
    <phoneticPr fontId="2"/>
  </si>
  <si>
    <t>常駐バッチ処理では、システムエラー発生時は一定回数自動リトライを行ない、</t>
    <phoneticPr fontId="2"/>
  </si>
  <si>
    <t>リトライ中にエラーが除去できた場合にはプログラムの実行を継続する。</t>
  </si>
  <si>
    <t>これは、データベースサーバなどのミドルウェアが高可用性構成にも関わらず、常駐プログラムがミドルウェア障害の度に異常終了していては、</t>
    <phoneticPr fontId="2"/>
  </si>
  <si>
    <t>可用性が損なわれるためである。</t>
  </si>
  <si>
    <t>一定回数のリトライを行なっても、エラーが除去できない場合には処理を終了する。</t>
    <phoneticPr fontId="2"/>
  </si>
  <si>
    <t>業務エラー発生時には、エラーとなったレコードを再度処理しないようにエラーレコードとしてマークし処理を継続する。</t>
    <phoneticPr fontId="2"/>
  </si>
  <si>
    <t>個別の業務プログラムでは、エラー発生時に実行制御基盤からコールバックされる機能を使用して、</t>
    <phoneticPr fontId="2"/>
  </si>
  <si>
    <t>エラーレコードとして処理対象外にする処理を行う。</t>
    <phoneticPr fontId="2"/>
  </si>
  <si>
    <t>常駐バッチを日々定刻にスケジュール起動する場合、常駐バッチ停止ジョブを含む都度起動バッチを作成し、</t>
    <phoneticPr fontId="2"/>
  </si>
  <si>
    <t>EventBridgeによって定期的に実行する。</t>
    <phoneticPr fontId="2"/>
  </si>
  <si>
    <t>次に24時間運用する場合はECSサービスを使用しており、かつタスクの必要数を1にしているため、そのままでは</t>
    <phoneticPr fontId="2"/>
  </si>
  <si>
    <t>常駐バッチプログラムを停止させても</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</si>
</sst>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9"/>
      <color theme="1"/>
      <name val="ＭＳ 明朝"/>
      <family val="1"/>
      <charset val="128"/>
    </font>
    <font>
      <sz val="6"/>
      <name val="ＭＳ 明朝"/>
      <family val="1"/>
      <charset val="128"/>
    </font>
    <font>
      <u/>
      <sz val="11"/>
      <color theme="10"/>
      <name val="ＭＳ Ｐゴシック"/>
      <family val="2"/>
      <charset val="128"/>
      <scheme val="minor"/>
    </font>
    <font>
      <u/>
      <sz val="9"/>
      <color theme="1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5" fillId="0" borderId="0" applyNumberFormat="0" applyFill="0" applyBorder="0" applyAlignment="0" applyProtection="0">
      <alignment vertical="center"/>
    </xf>
  </cellStyleXfs>
  <cellXfs count="44">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3"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3" fillId="0" borderId="0" xfId="0" quotePrefix="1" applyFont="1" applyAlignment="1">
      <alignment horizontal="right" vertical="center"/>
    </xf>
    <xf numFmtId="0" fontId="1" fillId="0" borderId="0" xfId="0" applyFont="1">
      <alignment vertical="center"/>
    </xf>
    <xf numFmtId="0" fontId="5" fillId="0" borderId="0" xfId="4">
      <alignment vertical="center"/>
    </xf>
    <xf numFmtId="0" fontId="3" fillId="0" borderId="0" xfId="0" applyFont="1" applyAlignment="1">
      <alignment vertical="top"/>
    </xf>
    <xf numFmtId="0" fontId="1" fillId="0" borderId="0" xfId="0" applyFont="1" applyAlignment="1">
      <alignment horizontal="right" vertical="center"/>
    </xf>
    <xf numFmtId="0" fontId="6" fillId="0" borderId="0" xfId="4" applyFont="1">
      <alignment vertical="center"/>
    </xf>
    <xf numFmtId="0" fontId="3" fillId="0" borderId="9" xfId="0" applyFont="1" applyBorder="1" applyAlignment="1">
      <alignment horizontal="left" vertical="top" wrapText="1"/>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3" fillId="0" borderId="1" xfId="2" applyFont="1" applyBorder="1" applyAlignment="1">
      <alignment vertical="center"/>
    </xf>
    <xf numFmtId="0" fontId="3" fillId="0" borderId="2" xfId="2" applyFont="1" applyBorder="1" applyAlignment="1">
      <alignment vertical="center"/>
    </xf>
    <xf numFmtId="0" fontId="3" fillId="0" borderId="3" xfId="2" applyFont="1" applyBorder="1" applyAlignment="1">
      <alignment vertical="center"/>
    </xf>
    <xf numFmtId="0" fontId="3" fillId="0" borderId="1" xfId="1" applyFont="1" applyBorder="1" applyAlignment="1">
      <alignment horizontal="left" vertical="center" wrapText="1"/>
    </xf>
    <xf numFmtId="0" fontId="3" fillId="0" borderId="2" xfId="1" applyFont="1" applyBorder="1" applyAlignment="1">
      <alignment horizontal="left" vertical="center" wrapText="1"/>
    </xf>
    <xf numFmtId="0" fontId="3"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3" fillId="0" borderId="4" xfId="1" applyFont="1" applyBorder="1" applyAlignment="1">
      <alignment horizontal="left" vertical="top" wrapText="1"/>
    </xf>
    <xf numFmtId="0" fontId="3" fillId="0" borderId="5" xfId="1" applyFont="1" applyBorder="1" applyAlignment="1">
      <alignment horizontal="left" vertical="top" wrapText="1"/>
    </xf>
    <xf numFmtId="0" fontId="3" fillId="0" borderId="6" xfId="1" applyFont="1" applyBorder="1" applyAlignment="1">
      <alignment horizontal="left" vertical="top" wrapText="1"/>
    </xf>
    <xf numFmtId="0" fontId="3" fillId="0" borderId="10" xfId="1" applyFont="1" applyBorder="1" applyAlignment="1">
      <alignment horizontal="left" vertical="top" wrapText="1"/>
    </xf>
    <xf numFmtId="0" fontId="3" fillId="0" borderId="11" xfId="1" applyFont="1" applyBorder="1" applyAlignment="1">
      <alignment horizontal="left" vertical="top" wrapText="1"/>
    </xf>
    <xf numFmtId="0" fontId="3" fillId="0" borderId="12" xfId="1" applyFont="1" applyBorder="1" applyAlignment="1">
      <alignment horizontal="left" vertical="top" wrapText="1"/>
    </xf>
    <xf numFmtId="0" fontId="3" fillId="0" borderId="9" xfId="2" applyFont="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99CCFF"/>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ma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K559"/>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c r="B1" s="2"/>
      <c r="C1" s="2"/>
      <c r="D1" s="3"/>
      <c r="E1" s="28"/>
      <c r="F1" s="29"/>
      <c r="G1" s="29"/>
      <c r="H1" s="29"/>
      <c r="I1" s="29"/>
      <c r="J1" s="29"/>
      <c r="K1" s="29"/>
      <c r="L1" s="29"/>
      <c r="M1" s="29"/>
      <c r="N1" s="29"/>
      <c r="O1" s="30"/>
      <c r="P1" s="1" t="s">
        <v>0</v>
      </c>
      <c r="Q1" s="2"/>
      <c r="R1" s="31" t="s">
        <v>1</v>
      </c>
      <c r="S1" s="32"/>
      <c r="T1" s="32"/>
      <c r="U1" s="32"/>
      <c r="V1" s="32"/>
      <c r="W1" s="32"/>
      <c r="X1" s="33"/>
      <c r="Y1" s="1" t="s">
        <v>2</v>
      </c>
      <c r="Z1" s="3"/>
      <c r="AA1" s="34"/>
      <c r="AB1" s="35"/>
      <c r="AC1" s="35"/>
      <c r="AD1" s="35"/>
      <c r="AE1" s="36"/>
      <c r="AF1" s="25"/>
      <c r="AG1" s="26"/>
      <c r="AH1" s="26"/>
      <c r="AI1" s="27"/>
    </row>
    <row r="2" spans="1:35" ht="14.25" customHeight="1" x14ac:dyDescent="0.15">
      <c r="A2" s="5" t="s">
        <v>3</v>
      </c>
      <c r="B2" s="6"/>
      <c r="C2" s="6"/>
      <c r="D2" s="7"/>
      <c r="E2" s="28"/>
      <c r="F2" s="29"/>
      <c r="G2" s="29"/>
      <c r="H2" s="29"/>
      <c r="I2" s="29"/>
      <c r="J2" s="29"/>
      <c r="K2" s="29"/>
      <c r="L2" s="29"/>
      <c r="M2" s="29"/>
      <c r="N2" s="29"/>
      <c r="O2" s="30"/>
      <c r="P2" s="8" t="s">
        <v>4</v>
      </c>
      <c r="Q2" s="9"/>
      <c r="R2" s="37" t="s">
        <v>5</v>
      </c>
      <c r="S2" s="38"/>
      <c r="T2" s="38"/>
      <c r="U2" s="38"/>
      <c r="V2" s="38"/>
      <c r="W2" s="38"/>
      <c r="X2" s="39"/>
      <c r="Y2" s="1" t="s">
        <v>6</v>
      </c>
      <c r="Z2" s="3"/>
      <c r="AA2" s="34"/>
      <c r="AB2" s="35"/>
      <c r="AC2" s="35"/>
      <c r="AD2" s="35"/>
      <c r="AE2" s="36"/>
      <c r="AF2" s="25"/>
      <c r="AG2" s="26"/>
      <c r="AH2" s="26"/>
      <c r="AI2" s="27"/>
    </row>
    <row r="3" spans="1:35" ht="14.25" customHeight="1" x14ac:dyDescent="0.15">
      <c r="A3" s="1" t="s">
        <v>7</v>
      </c>
      <c r="B3" s="10"/>
      <c r="C3" s="11"/>
      <c r="D3" s="3"/>
      <c r="E3" s="43"/>
      <c r="F3" s="43"/>
      <c r="G3" s="43"/>
      <c r="H3" s="43"/>
      <c r="I3" s="43"/>
      <c r="J3" s="43"/>
      <c r="K3" s="43"/>
      <c r="L3" s="43"/>
      <c r="M3" s="43"/>
      <c r="N3" s="43"/>
      <c r="O3" s="43"/>
      <c r="P3" s="12"/>
      <c r="Q3" s="13"/>
      <c r="R3" s="40"/>
      <c r="S3" s="41"/>
      <c r="T3" s="41"/>
      <c r="U3" s="41"/>
      <c r="V3" s="41"/>
      <c r="W3" s="41"/>
      <c r="X3" s="42"/>
      <c r="Y3" s="12" t="s">
        <v>8</v>
      </c>
      <c r="Z3" s="14"/>
      <c r="AA3" s="34"/>
      <c r="AB3" s="35"/>
      <c r="AC3" s="35"/>
      <c r="AD3" s="35"/>
      <c r="AE3" s="36"/>
      <c r="AF3" s="25"/>
      <c r="AG3" s="26"/>
      <c r="AH3" s="26"/>
      <c r="AI3" s="27"/>
    </row>
    <row r="4" spans="1:35" ht="11.25" customHeight="1" x14ac:dyDescent="0.15"/>
    <row r="5" spans="1:35" ht="11.25" customHeight="1" x14ac:dyDescent="0.15">
      <c r="B5" s="15" t="s">
        <v>9</v>
      </c>
      <c r="C5" s="4" t="s">
        <v>10</v>
      </c>
    </row>
    <row r="6" spans="1:35" ht="11.25" customHeight="1" x14ac:dyDescent="0.15"/>
    <row r="7" spans="1:35" ht="11.25" customHeight="1" x14ac:dyDescent="0.15">
      <c r="C7" s="15" t="str">
        <f>$B$5&amp;"2."</f>
        <v>4.2.</v>
      </c>
      <c r="D7" s="4" t="s">
        <v>11</v>
      </c>
    </row>
    <row r="8" spans="1:35" ht="11.25" customHeight="1" x14ac:dyDescent="0.15"/>
    <row r="9" spans="1:35" ht="11.25" customHeight="1" x14ac:dyDescent="0.15">
      <c r="D9" s="15" t="str">
        <f>$C$7&amp;"1."</f>
        <v>4.2.1.</v>
      </c>
      <c r="E9" s="4" t="s">
        <v>12</v>
      </c>
    </row>
    <row r="10" spans="1:35" ht="11.25" customHeight="1" x14ac:dyDescent="0.15">
      <c r="D10" s="15"/>
      <c r="E10" s="15" t="str">
        <f>$D$9&amp;"1."</f>
        <v>4.2.1.1.</v>
      </c>
      <c r="F10" s="4" t="s">
        <v>13</v>
      </c>
    </row>
    <row r="11" spans="1:35" ht="11.25" customHeight="1" x14ac:dyDescent="0.15">
      <c r="E11" s="15"/>
      <c r="F11" s="4" t="s">
        <v>14</v>
      </c>
    </row>
    <row r="12" spans="1:35" ht="11.25" customHeight="1" x14ac:dyDescent="0.15">
      <c r="E12" s="15"/>
      <c r="F12" s="4" t="s">
        <v>15</v>
      </c>
    </row>
    <row r="13" spans="1:35" ht="11.25" customHeight="1" x14ac:dyDescent="0.15">
      <c r="F13" s="4" t="s">
        <v>16</v>
      </c>
    </row>
    <row r="14" spans="1:35" ht="11.25" customHeight="1" x14ac:dyDescent="0.15"/>
    <row r="15" spans="1:35" ht="11.25" customHeight="1" x14ac:dyDescent="0.15">
      <c r="E15" s="15" t="str">
        <f>$D$9&amp;"2."</f>
        <v>4.2.1.2.</v>
      </c>
      <c r="F15" s="4" t="s">
        <v>17</v>
      </c>
    </row>
    <row r="16" spans="1:35" ht="11.25" customHeight="1" x14ac:dyDescent="0.15">
      <c r="E16" s="15"/>
      <c r="F16" s="4" t="s">
        <v>18</v>
      </c>
    </row>
    <row r="17" spans="5:31" ht="11.25" customHeight="1" x14ac:dyDescent="0.15">
      <c r="E17" s="15"/>
    </row>
    <row r="18" spans="5:31" ht="11.25" customHeight="1" x14ac:dyDescent="0.15">
      <c r="E18" s="15"/>
      <c r="F18" s="22" t="s">
        <v>19</v>
      </c>
      <c r="G18" s="23"/>
      <c r="H18" s="23"/>
      <c r="I18" s="23"/>
      <c r="J18" s="23"/>
      <c r="K18" s="23"/>
      <c r="L18" s="24"/>
      <c r="M18" s="22" t="s">
        <v>20</v>
      </c>
      <c r="N18" s="23"/>
      <c r="O18" s="23"/>
      <c r="P18" s="23"/>
      <c r="Q18" s="23"/>
      <c r="R18" s="23"/>
      <c r="S18" s="23"/>
      <c r="T18" s="23"/>
      <c r="U18" s="23"/>
      <c r="V18" s="23"/>
      <c r="W18" s="23"/>
      <c r="X18" s="23"/>
      <c r="Y18" s="23"/>
      <c r="Z18" s="23"/>
      <c r="AA18" s="23"/>
      <c r="AB18" s="23"/>
      <c r="AC18" s="23"/>
      <c r="AD18" s="23"/>
      <c r="AE18" s="24"/>
    </row>
    <row r="19" spans="5:31" ht="36.75" customHeight="1" x14ac:dyDescent="0.15">
      <c r="E19" s="15"/>
      <c r="F19" s="21" t="s">
        <v>11</v>
      </c>
      <c r="G19" s="21"/>
      <c r="H19" s="21"/>
      <c r="I19" s="21"/>
      <c r="J19" s="21"/>
      <c r="K19" s="21"/>
      <c r="L19" s="21"/>
      <c r="M19" s="21" t="s">
        <v>21</v>
      </c>
      <c r="N19" s="21"/>
      <c r="O19" s="21"/>
      <c r="P19" s="21"/>
      <c r="Q19" s="21"/>
      <c r="R19" s="21"/>
      <c r="S19" s="21"/>
      <c r="T19" s="21"/>
      <c r="U19" s="21"/>
      <c r="V19" s="21"/>
      <c r="W19" s="21"/>
      <c r="X19" s="21"/>
      <c r="Y19" s="21"/>
      <c r="Z19" s="21"/>
      <c r="AA19" s="21"/>
      <c r="AB19" s="21"/>
      <c r="AC19" s="21"/>
      <c r="AD19" s="21"/>
      <c r="AE19" s="21"/>
    </row>
    <row r="20" spans="5:31" ht="39.75" customHeight="1" x14ac:dyDescent="0.15">
      <c r="E20" s="15"/>
      <c r="F20" s="21" t="s">
        <v>22</v>
      </c>
      <c r="G20" s="21"/>
      <c r="H20" s="21"/>
      <c r="I20" s="21"/>
      <c r="J20" s="21"/>
      <c r="K20" s="21"/>
      <c r="L20" s="21"/>
      <c r="M20" s="21" t="s">
        <v>23</v>
      </c>
      <c r="N20" s="21"/>
      <c r="O20" s="21"/>
      <c r="P20" s="21"/>
      <c r="Q20" s="21"/>
      <c r="R20" s="21"/>
      <c r="S20" s="21"/>
      <c r="T20" s="21"/>
      <c r="U20" s="21"/>
      <c r="V20" s="21"/>
      <c r="W20" s="21"/>
      <c r="X20" s="21"/>
      <c r="Y20" s="21"/>
      <c r="Z20" s="21"/>
      <c r="AA20" s="21"/>
      <c r="AB20" s="21"/>
      <c r="AC20" s="21"/>
      <c r="AD20" s="21"/>
      <c r="AE20" s="21"/>
    </row>
    <row r="21" spans="5:31" ht="11.25" customHeight="1" x14ac:dyDescent="0.15">
      <c r="E21" s="15"/>
      <c r="F21" s="18"/>
      <c r="G21" s="18"/>
      <c r="H21" s="18"/>
      <c r="I21" s="18"/>
      <c r="J21" s="18"/>
      <c r="K21" s="18"/>
      <c r="L21" s="18"/>
      <c r="M21" s="17"/>
    </row>
    <row r="22" spans="5:31" ht="11.25" customHeight="1" x14ac:dyDescent="0.15">
      <c r="E22" s="15"/>
      <c r="F22" s="4" t="s">
        <v>24</v>
      </c>
      <c r="M22" s="17"/>
    </row>
    <row r="23" spans="5:31" ht="11.25" customHeight="1" x14ac:dyDescent="0.15">
      <c r="E23" s="15"/>
      <c r="F23" s="4" t="s">
        <v>25</v>
      </c>
    </row>
    <row r="24" spans="5:31" ht="11.25" customHeight="1" x14ac:dyDescent="0.15">
      <c r="E24" s="15"/>
    </row>
    <row r="25" spans="5:31" ht="11.25" customHeight="1" x14ac:dyDescent="0.15">
      <c r="E25" s="15"/>
      <c r="F25" s="4" t="s">
        <v>26</v>
      </c>
    </row>
    <row r="26" spans="5:31" ht="11.25" customHeight="1" x14ac:dyDescent="0.15">
      <c r="E26" s="15"/>
      <c r="F26" s="4" t="s">
        <v>27</v>
      </c>
    </row>
    <row r="27" spans="5:31" ht="11.25" customHeight="1" x14ac:dyDescent="0.15">
      <c r="E27" s="15"/>
      <c r="F27" s="4" t="s">
        <v>28</v>
      </c>
    </row>
    <row r="28" spans="5:31" ht="11.25" customHeight="1" x14ac:dyDescent="0.15">
      <c r="E28" s="15"/>
    </row>
    <row r="29" spans="5:31" ht="11.25" customHeight="1" x14ac:dyDescent="0.15">
      <c r="E29" s="15"/>
      <c r="F29" s="4" t="s">
        <v>29</v>
      </c>
    </row>
    <row r="30" spans="5:31" ht="11.25" customHeight="1" x14ac:dyDescent="0.15">
      <c r="E30" s="15"/>
    </row>
    <row r="31" spans="5:31" ht="11.25" customHeight="1" x14ac:dyDescent="0.15">
      <c r="E31" s="15"/>
      <c r="F31" s="4" t="s">
        <v>30</v>
      </c>
    </row>
    <row r="32" spans="5:31" ht="11.25" customHeight="1" x14ac:dyDescent="0.15">
      <c r="E32" s="15"/>
      <c r="F32" s="20" t="s">
        <v>31</v>
      </c>
    </row>
    <row r="33" spans="4:6" ht="11.25" customHeight="1" x14ac:dyDescent="0.15">
      <c r="E33" s="15"/>
    </row>
    <row r="34" spans="4:6" ht="11.25" customHeight="1" x14ac:dyDescent="0.15">
      <c r="D34" s="15"/>
    </row>
    <row r="35" spans="4:6" ht="11.25" customHeight="1" x14ac:dyDescent="0.15">
      <c r="D35" s="15" t="str">
        <f>$C$7&amp;"2."</f>
        <v>4.2.2.</v>
      </c>
      <c r="E35" s="4" t="s">
        <v>32</v>
      </c>
    </row>
    <row r="36" spans="4:6" ht="11.25" customHeight="1" x14ac:dyDescent="0.15">
      <c r="D36" s="15"/>
      <c r="E36" s="15" t="str">
        <f>$D$35&amp;"1."</f>
        <v>4.2.2.1.</v>
      </c>
      <c r="F36" s="4" t="str">
        <f>$E$35&amp;"機能概要"</f>
        <v>処理制御機能概要</v>
      </c>
    </row>
    <row r="37" spans="4:6" ht="11.25" customHeight="1" x14ac:dyDescent="0.15">
      <c r="F37" s="16" t="s">
        <v>33</v>
      </c>
    </row>
    <row r="38" spans="4:6" ht="11.25" customHeight="1" x14ac:dyDescent="0.15">
      <c r="F38" s="4" t="s">
        <v>34</v>
      </c>
    </row>
    <row r="39" spans="4:6" ht="11.25" customHeight="1" x14ac:dyDescent="0.15"/>
    <row r="40" spans="4:6" ht="11.25" customHeight="1" x14ac:dyDescent="0.15">
      <c r="E40" s="15" t="str">
        <f>$D$35&amp;"2."</f>
        <v>4.2.2.2.</v>
      </c>
      <c r="F40" s="4" t="s">
        <v>35</v>
      </c>
    </row>
    <row r="41" spans="4:6" ht="11.25" customHeight="1" x14ac:dyDescent="0.15">
      <c r="E41" s="15"/>
      <c r="F41" s="4" t="s">
        <v>36</v>
      </c>
    </row>
    <row r="42" spans="4:6" ht="11.25" customHeight="1" x14ac:dyDescent="0.15">
      <c r="E42" s="15"/>
    </row>
    <row r="43" spans="4:6" ht="11.25" customHeight="1" x14ac:dyDescent="0.15">
      <c r="E43" s="15"/>
      <c r="F43" s="4" t="s">
        <v>37</v>
      </c>
    </row>
    <row r="44" spans="4:6" ht="11.25" customHeight="1" x14ac:dyDescent="0.15">
      <c r="E44" s="15"/>
      <c r="F44" s="4" t="s">
        <v>38</v>
      </c>
    </row>
    <row r="45" spans="4:6" ht="11.25" customHeight="1" x14ac:dyDescent="0.15">
      <c r="E45" s="15"/>
      <c r="F45" s="4" t="s">
        <v>39</v>
      </c>
    </row>
    <row r="46" spans="4:6" ht="11.25" customHeight="1" x14ac:dyDescent="0.15">
      <c r="E46" s="15"/>
    </row>
    <row r="47" spans="4:6" ht="11.25" customHeight="1" x14ac:dyDescent="0.15">
      <c r="E47" s="15"/>
      <c r="F47" s="4" t="s">
        <v>40</v>
      </c>
    </row>
    <row r="48" spans="4:6" ht="11.25" customHeight="1" x14ac:dyDescent="0.15">
      <c r="E48" s="15"/>
      <c r="F48" s="4" t="s">
        <v>41</v>
      </c>
    </row>
    <row r="49" spans="5:7" ht="11.25" customHeight="1" x14ac:dyDescent="0.15">
      <c r="E49" s="15"/>
      <c r="F49" s="4" t="s">
        <v>42</v>
      </c>
    </row>
    <row r="50" spans="5:7" ht="11.25" customHeight="1" x14ac:dyDescent="0.15">
      <c r="E50" s="15"/>
    </row>
    <row r="51" spans="5:7" ht="11.25" customHeight="1" x14ac:dyDescent="0.15">
      <c r="E51" s="15"/>
      <c r="F51" s="4" t="s">
        <v>43</v>
      </c>
    </row>
    <row r="52" spans="5:7" ht="11.25" customHeight="1" x14ac:dyDescent="0.15">
      <c r="E52" s="15"/>
    </row>
    <row r="53" spans="5:7" ht="11.25" customHeight="1" x14ac:dyDescent="0.15">
      <c r="E53" s="15" t="str">
        <f>$D$35&amp;"3."</f>
        <v>4.2.2.3.</v>
      </c>
      <c r="F53" s="4" t="s">
        <v>44</v>
      </c>
    </row>
    <row r="54" spans="5:7" ht="11.25" customHeight="1" x14ac:dyDescent="0.15">
      <c r="E54" s="15"/>
      <c r="F54" s="4" t="s">
        <v>45</v>
      </c>
    </row>
    <row r="55" spans="5:7" ht="11.25" customHeight="1" x14ac:dyDescent="0.15">
      <c r="E55" s="15"/>
    </row>
    <row r="56" spans="5:7" ht="11.25" customHeight="1" x14ac:dyDescent="0.15">
      <c r="E56" s="15"/>
      <c r="F56" s="15" t="s">
        <v>46</v>
      </c>
      <c r="G56" s="4" t="s">
        <v>47</v>
      </c>
    </row>
    <row r="57" spans="5:7" ht="11.25" customHeight="1" x14ac:dyDescent="0.15">
      <c r="E57" s="15"/>
      <c r="F57" s="15" t="s">
        <v>48</v>
      </c>
      <c r="G57" s="4" t="s">
        <v>49</v>
      </c>
    </row>
    <row r="58" spans="5:7" ht="11.25" customHeight="1" x14ac:dyDescent="0.15">
      <c r="E58" s="15"/>
    </row>
    <row r="59" spans="5:7" ht="11.25" customHeight="1" x14ac:dyDescent="0.15">
      <c r="E59" s="15"/>
      <c r="F59" s="4" t="s">
        <v>50</v>
      </c>
    </row>
    <row r="60" spans="5:7" ht="11.25" customHeight="1" x14ac:dyDescent="0.15">
      <c r="E60" s="15"/>
      <c r="F60" s="4" t="s">
        <v>51</v>
      </c>
    </row>
    <row r="61" spans="5:7" ht="11.25" customHeight="1" x14ac:dyDescent="0.15">
      <c r="E61" s="15"/>
      <c r="F61" s="4" t="s">
        <v>52</v>
      </c>
    </row>
    <row r="62" spans="5:7" ht="11.25" customHeight="1" x14ac:dyDescent="0.15">
      <c r="E62" s="15"/>
      <c r="F62" s="4" t="s">
        <v>99</v>
      </c>
    </row>
    <row r="63" spans="5:7" ht="11.25" customHeight="1" x14ac:dyDescent="0.15">
      <c r="E63" s="15"/>
      <c r="F63" s="4" t="s">
        <v>100</v>
      </c>
    </row>
    <row r="64" spans="5:7" ht="11.25" customHeight="1" x14ac:dyDescent="0.15">
      <c r="E64" s="15"/>
      <c r="F64" s="4" t="s">
        <v>53</v>
      </c>
    </row>
    <row r="65" spans="4:6" ht="11.25" customHeight="1" x14ac:dyDescent="0.15">
      <c r="E65" s="15"/>
    </row>
    <row r="66" spans="4:6" ht="11.25" customHeight="1" x14ac:dyDescent="0.15">
      <c r="E66" s="15"/>
      <c r="F66" s="4" t="s">
        <v>101</v>
      </c>
    </row>
    <row r="67" spans="4:6" ht="11.25" customHeight="1" x14ac:dyDescent="0.15">
      <c r="E67" s="15"/>
      <c r="F67" s="4" t="s">
        <v>102</v>
      </c>
    </row>
    <row r="68" spans="4:6" ht="11.25" customHeight="1" x14ac:dyDescent="0.15">
      <c r="E68" s="15"/>
      <c r="F68" s="4" t="s">
        <v>54</v>
      </c>
    </row>
    <row r="69" spans="4:6" ht="11.25" customHeight="1" x14ac:dyDescent="0.15">
      <c r="E69" s="15"/>
      <c r="F69" s="4" t="s">
        <v>55</v>
      </c>
    </row>
    <row r="70" spans="4:6" ht="11.25" customHeight="1" x14ac:dyDescent="0.15">
      <c r="E70" s="15"/>
    </row>
    <row r="71" spans="4:6" ht="11.25" customHeight="1" x14ac:dyDescent="0.15">
      <c r="F71" s="4" t="s">
        <v>56</v>
      </c>
    </row>
    <row r="72" spans="4:6" ht="11.25" customHeight="1" x14ac:dyDescent="0.15">
      <c r="F72" s="4" t="s">
        <v>57</v>
      </c>
    </row>
    <row r="73" spans="4:6" ht="11.25" customHeight="1" x14ac:dyDescent="0.15"/>
    <row r="74" spans="4:6" ht="11.25" customHeight="1" x14ac:dyDescent="0.15">
      <c r="E74" s="15" t="str">
        <f>$D$35&amp;"4."</f>
        <v>4.2.2.4.</v>
      </c>
      <c r="F74" s="4" t="s">
        <v>58</v>
      </c>
    </row>
    <row r="75" spans="4:6" ht="11.25" customHeight="1" x14ac:dyDescent="0.15">
      <c r="E75" s="15"/>
      <c r="F75" s="4" t="s">
        <v>59</v>
      </c>
    </row>
    <row r="76" spans="4:6" ht="11.25" customHeight="1" x14ac:dyDescent="0.15">
      <c r="E76" s="15"/>
      <c r="F76" s="4" t="s">
        <v>60</v>
      </c>
    </row>
    <row r="77" spans="4:6" ht="11.25" customHeight="1" x14ac:dyDescent="0.15">
      <c r="D77" s="15"/>
    </row>
    <row r="78" spans="4:6" ht="11.25" customHeight="1" x14ac:dyDescent="0.15">
      <c r="D78" s="15"/>
    </row>
    <row r="79" spans="4:6" ht="11.25" customHeight="1" x14ac:dyDescent="0.15">
      <c r="D79" s="15" t="str">
        <f>$C$7&amp;"3."</f>
        <v>4.2.3.</v>
      </c>
      <c r="E79" s="4" t="s">
        <v>61</v>
      </c>
    </row>
    <row r="80" spans="4:6" ht="11.25" customHeight="1" x14ac:dyDescent="0.15">
      <c r="D80" s="15"/>
      <c r="E80" s="4" t="s">
        <v>62</v>
      </c>
    </row>
    <row r="81" spans="4:37" ht="11.25" customHeight="1" x14ac:dyDescent="0.15">
      <c r="D81" s="15"/>
      <c r="E81" s="4" t="s">
        <v>63</v>
      </c>
    </row>
    <row r="82" spans="4:37" ht="11.25" customHeight="1" x14ac:dyDescent="0.15">
      <c r="D82" s="15"/>
      <c r="E82" s="4" t="s">
        <v>64</v>
      </c>
      <c r="AK82" s="15"/>
    </row>
    <row r="83" spans="4:37" ht="11.25" customHeight="1" x14ac:dyDescent="0.15">
      <c r="D83" s="15"/>
      <c r="AK83" s="15"/>
    </row>
    <row r="84" spans="4:37" ht="11.25" customHeight="1" x14ac:dyDescent="0.15">
      <c r="D84" s="15"/>
    </row>
    <row r="85" spans="4:37" ht="11.25" customHeight="1" x14ac:dyDescent="0.15">
      <c r="D85" s="15" t="str">
        <f>$C$7&amp;"4."</f>
        <v>4.2.4.</v>
      </c>
      <c r="E85" s="4" t="s">
        <v>65</v>
      </c>
    </row>
    <row r="86" spans="4:37" ht="11.25" customHeight="1" x14ac:dyDescent="0.15">
      <c r="D86" s="15"/>
      <c r="E86" s="15" t="str">
        <f t="shared" ref="E86" si="0">$D$85&amp;"1."</f>
        <v>4.2.4.1.</v>
      </c>
      <c r="F86" s="4" t="s">
        <v>66</v>
      </c>
    </row>
    <row r="87" spans="4:37" ht="11.25" customHeight="1" x14ac:dyDescent="0.15">
      <c r="E87" s="15"/>
      <c r="F87" s="4" t="s">
        <v>67</v>
      </c>
    </row>
    <row r="88" spans="4:37" ht="11.25" customHeight="1" x14ac:dyDescent="0.15"/>
    <row r="89" spans="4:37" ht="11.25" customHeight="1" x14ac:dyDescent="0.15">
      <c r="F89" s="19" t="s">
        <v>68</v>
      </c>
      <c r="G89" s="4" t="s">
        <v>69</v>
      </c>
    </row>
    <row r="90" spans="4:37" ht="11.25" customHeight="1" x14ac:dyDescent="0.15">
      <c r="G90" s="4" t="s">
        <v>70</v>
      </c>
    </row>
    <row r="91" spans="4:37" ht="11.25" customHeight="1" x14ac:dyDescent="0.15">
      <c r="G91" s="4" t="s">
        <v>71</v>
      </c>
    </row>
    <row r="92" spans="4:37" ht="11.25" customHeight="1" x14ac:dyDescent="0.15">
      <c r="G92" s="4" t="s">
        <v>72</v>
      </c>
    </row>
    <row r="93" spans="4:37" ht="11.25" customHeight="1" x14ac:dyDescent="0.15"/>
    <row r="94" spans="4:37" ht="11.25" customHeight="1" x14ac:dyDescent="0.15">
      <c r="F94" s="19" t="s">
        <v>73</v>
      </c>
      <c r="G94" s="4" t="s">
        <v>74</v>
      </c>
    </row>
    <row r="95" spans="4:37" ht="11.25" customHeight="1" x14ac:dyDescent="0.15">
      <c r="G95" s="4" t="s">
        <v>75</v>
      </c>
    </row>
    <row r="96" spans="4:37" ht="11.25" customHeight="1" x14ac:dyDescent="0.15">
      <c r="AK96" s="15"/>
    </row>
    <row r="97" spans="5:37" ht="11.25" customHeight="1" x14ac:dyDescent="0.15">
      <c r="E97" s="15" t="str">
        <f>$D$85&amp;"2."</f>
        <v>4.2.4.2.</v>
      </c>
      <c r="F97" s="4" t="s">
        <v>76</v>
      </c>
      <c r="AK97" s="15"/>
    </row>
    <row r="98" spans="5:37" ht="11.25" customHeight="1" x14ac:dyDescent="0.15"/>
    <row r="99" spans="5:37" ht="11.25" customHeight="1" x14ac:dyDescent="0.15">
      <c r="F99" s="19" t="str">
        <f>$E$97&amp;"1."</f>
        <v>4.2.4.2.1.</v>
      </c>
      <c r="G99" s="4" t="s">
        <v>77</v>
      </c>
    </row>
    <row r="100" spans="5:37" ht="11.25" customHeight="1" x14ac:dyDescent="0.15">
      <c r="G100" s="4" t="s">
        <v>78</v>
      </c>
    </row>
    <row r="101" spans="5:37" ht="11.25" customHeight="1" x14ac:dyDescent="0.15">
      <c r="G101" s="4" t="s">
        <v>79</v>
      </c>
    </row>
    <row r="102" spans="5:37" ht="11.25" customHeight="1" x14ac:dyDescent="0.15">
      <c r="G102" s="4" t="s">
        <v>80</v>
      </c>
    </row>
    <row r="103" spans="5:37" ht="11.25" customHeight="1" x14ac:dyDescent="0.15"/>
    <row r="104" spans="5:37" ht="11.25" customHeight="1" x14ac:dyDescent="0.15">
      <c r="F104" s="19" t="str">
        <f>$E$97&amp;"2."</f>
        <v>4.2.4.2.2.</v>
      </c>
      <c r="G104" s="4" t="s">
        <v>81</v>
      </c>
    </row>
    <row r="105" spans="5:37" ht="11.25" customHeight="1" x14ac:dyDescent="0.15">
      <c r="G105" s="4" t="s">
        <v>82</v>
      </c>
    </row>
    <row r="106" spans="5:37" ht="11.25" customHeight="1" x14ac:dyDescent="0.15">
      <c r="G106" s="4" t="s">
        <v>83</v>
      </c>
    </row>
    <row r="107" spans="5:37" ht="11.25" customHeight="1" x14ac:dyDescent="0.15">
      <c r="G107" s="4" t="s">
        <v>84</v>
      </c>
    </row>
    <row r="108" spans="5:37" ht="11.25" customHeight="1" x14ac:dyDescent="0.15">
      <c r="G108" s="4" t="s">
        <v>85</v>
      </c>
    </row>
    <row r="109" spans="5:37" ht="11.25" customHeight="1" x14ac:dyDescent="0.15"/>
    <row r="110" spans="5:37" ht="11.25" customHeight="1" x14ac:dyDescent="0.15">
      <c r="F110" s="19" t="str">
        <f>$E$97&amp;"3."</f>
        <v>4.2.4.2.3.</v>
      </c>
      <c r="G110" s="4" t="s">
        <v>86</v>
      </c>
    </row>
    <row r="111" spans="5:37" ht="11.25" customHeight="1" x14ac:dyDescent="0.15">
      <c r="G111" s="4" t="s">
        <v>87</v>
      </c>
    </row>
    <row r="112" spans="5:37" ht="11.25" customHeight="1" x14ac:dyDescent="0.15">
      <c r="G112" s="4" t="s">
        <v>88</v>
      </c>
    </row>
    <row r="113" spans="4:7" ht="11.25" customHeight="1" x14ac:dyDescent="0.15">
      <c r="G113" s="4" t="s">
        <v>89</v>
      </c>
    </row>
    <row r="114" spans="4:7" ht="11.25" customHeight="1" x14ac:dyDescent="0.15"/>
    <row r="115" spans="4:7" ht="11.25" customHeight="1" x14ac:dyDescent="0.15">
      <c r="D115" s="15"/>
      <c r="E115" s="15" t="str">
        <f>$D$85&amp;"3."</f>
        <v>4.2.4.3.</v>
      </c>
      <c r="F115" s="4" t="s">
        <v>90</v>
      </c>
    </row>
    <row r="116" spans="4:7" ht="11.25" customHeight="1" x14ac:dyDescent="0.15">
      <c r="D116" s="15"/>
      <c r="F116" s="4" t="s">
        <v>91</v>
      </c>
    </row>
    <row r="117" spans="4:7" ht="11.25" customHeight="1" x14ac:dyDescent="0.15">
      <c r="D117" s="15"/>
      <c r="F117" s="4" t="s">
        <v>92</v>
      </c>
    </row>
    <row r="118" spans="4:7" ht="11.25" customHeight="1" x14ac:dyDescent="0.15">
      <c r="D118" s="15"/>
      <c r="F118" s="4" t="s">
        <v>93</v>
      </c>
    </row>
    <row r="119" spans="4:7" ht="11.25" customHeight="1" x14ac:dyDescent="0.15">
      <c r="D119" s="15"/>
      <c r="F119" s="4" t="s">
        <v>94</v>
      </c>
    </row>
    <row r="120" spans="4:7" ht="11.25" customHeight="1" x14ac:dyDescent="0.15">
      <c r="D120" s="15"/>
      <c r="F120" s="4" t="s">
        <v>95</v>
      </c>
    </row>
    <row r="121" spans="4:7" ht="11.25" customHeight="1" x14ac:dyDescent="0.15">
      <c r="D121" s="15"/>
    </row>
    <row r="122" spans="4:7" ht="11.25" customHeight="1" x14ac:dyDescent="0.15">
      <c r="D122" s="15"/>
      <c r="F122" s="4" t="s">
        <v>96</v>
      </c>
    </row>
    <row r="123" spans="4:7" ht="11.25" customHeight="1" x14ac:dyDescent="0.15">
      <c r="D123" s="15"/>
      <c r="F123" s="4" t="s">
        <v>97</v>
      </c>
    </row>
    <row r="124" spans="4:7" ht="11.25" customHeight="1" x14ac:dyDescent="0.15">
      <c r="D124" s="15"/>
      <c r="F124" s="4" t="s">
        <v>98</v>
      </c>
    </row>
    <row r="125" spans="4:7" ht="11.25" customHeight="1" x14ac:dyDescent="0.15">
      <c r="D125" s="15"/>
    </row>
    <row r="126" spans="4:7" ht="11.25" customHeight="1" x14ac:dyDescent="0.15">
      <c r="D126" s="15"/>
    </row>
    <row r="127" spans="4:7" ht="11.25" customHeight="1" x14ac:dyDescent="0.15">
      <c r="D127" s="15"/>
    </row>
    <row r="128" spans="4:7"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sheetData>
  <mergeCells count="17">
    <mergeCell ref="AF3:AI3"/>
    <mergeCell ref="E1:O1"/>
    <mergeCell ref="R1:X1"/>
    <mergeCell ref="AA1:AE1"/>
    <mergeCell ref="AF1:AI1"/>
    <mergeCell ref="E2:O2"/>
    <mergeCell ref="R2:X3"/>
    <mergeCell ref="AA2:AE2"/>
    <mergeCell ref="AF2:AI2"/>
    <mergeCell ref="E3:O3"/>
    <mergeCell ref="AA3:AE3"/>
    <mergeCell ref="F20:L20"/>
    <mergeCell ref="M20:AE20"/>
    <mergeCell ref="F18:L18"/>
    <mergeCell ref="M18:AE18"/>
    <mergeCell ref="M19:AE19"/>
    <mergeCell ref="F19:L19"/>
  </mergeCells>
  <phoneticPr fontId="2"/>
  <hyperlinks>
    <hyperlink ref="F32" r:id="rId1" location="mail-send" xr:uid="{8FB751CC-258F-431B-83DE-E8E97D9A0C12}"/>
  </hyperlinks>
  <pageMargins left="0.7" right="0.7" top="0.75" bottom="0.75" header="0.3" footer="0.3"/>
  <pageSetup paperSize="9" fitToHeight="0" orientation="landscape" r:id="rId2"/>
  <rowBreaks count="2" manualBreakCount="2">
    <brk id="33" max="34" man="1"/>
    <brk id="78"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4.2.常駐バッチ</vt:lpstr>
      <vt:lpstr>'4.2.常駐バッチ'!Print_Area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2025-04-21T02:25:55Z</dcterms:created>
  <dcterms:modified xsi:type="dcterms:W3CDTF">2025-04-21T05:10:01Z</dcterms:modified>
  <cp:category/>
  <cp:contentStatus/>
</cp:coreProperties>
</file>