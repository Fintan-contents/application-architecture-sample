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F8438F34-6464-4CE4-A2BB-F34C6FA89EA6}" xr6:coauthVersionLast="47" xr6:coauthVersionMax="47" xr10:uidLastSave="{00000000-0000-0000-0000-000000000000}"/>
  <bookViews>
    <workbookView xWindow="1245" yWindow="-120" windowWidth="27675" windowHeight="16440" tabRatio="668" xr2:uid="{00000000-000D-0000-FFFF-FFFF00000000}"/>
  </bookViews>
  <sheets>
    <sheet name="5.2.REST" sheetId="2" r:id="rId1"/>
  </sheets>
  <definedNames>
    <definedName name="_xlnm.Print_Area" localSheetId="0">'5.2.REST'!$A$1:$AI$204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D98" i="2" s="1"/>
  <c r="D165" i="2" l="1"/>
  <c r="D169" i="2"/>
  <c r="D173" i="2"/>
  <c r="D188" i="2"/>
  <c r="D191" i="2"/>
  <c r="E113" i="2"/>
  <c r="E100" i="2"/>
  <c r="D149" i="2"/>
  <c r="D154" i="2"/>
  <c r="D87" i="2"/>
  <c r="D12" i="2"/>
  <c r="D9" i="2"/>
  <c r="E178" i="2" l="1"/>
  <c r="E175" i="2"/>
  <c r="E61" i="2"/>
  <c r="E72" i="2"/>
  <c r="E38" i="2"/>
  <c r="E14" i="2"/>
</calcChain>
</file>

<file path=xl/sharedStrings.xml><?xml version="1.0" encoding="utf-8"?>
<sst xmlns="http://schemas.openxmlformats.org/spreadsheetml/2006/main" count="231" uniqueCount="208">
  <si>
    <t>プロジェクト名</t>
    <phoneticPr fontId="3"/>
  </si>
  <si>
    <t>XXXプロジェクト</t>
    <phoneticPr fontId="2"/>
  </si>
  <si>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</si>
  <si>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</si>
  <si>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</si>
  <si>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</si>
  <si>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</si>
  <si>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</si>
  <si>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</si>
  <si>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</si>
  <si>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</si>
  <si>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5.</t>
    <phoneticPr fontId="2"/>
  </si>
  <si>
    <t>入力処理方式</t>
    <rPh sb="0" eb="2">
      <t>ニュウリョク</t>
    </rPh>
    <rPh sb="2" eb="4">
      <t>ショリ</t>
    </rPh>
    <rPh sb="4" eb="6">
      <t>ホウシキ</t>
    </rPh>
    <phoneticPr fontId="2"/>
  </si>
  <si>
    <t>REST</t>
    <phoneticPr fontId="2"/>
  </si>
  <si>
    <t>処理方式概要</t>
    <rPh sb="0" eb="2">
      <t>ショリ</t>
    </rPh>
    <rPh sb="2" eb="4">
      <t>ホウシキ</t>
    </rPh>
    <rPh sb="4" eb="6">
      <t>ガイヨウ</t>
    </rPh>
    <phoneticPr fontId="2"/>
  </si>
  <si>
    <t>外部システムからのHTTPリクエストをもとにデータ照会・更新等の処理を行い、レスポンスを返却する処理方式である。</t>
    <rPh sb="0" eb="2">
      <t>ガイブ</t>
    </rPh>
    <rPh sb="25" eb="27">
      <t>ショウカイ</t>
    </rPh>
    <rPh sb="28" eb="31">
      <t>コウシントウ</t>
    </rPh>
    <rPh sb="32" eb="34">
      <t>ショリ</t>
    </rPh>
    <rPh sb="35" eb="36">
      <t>オコナ</t>
    </rPh>
    <rPh sb="44" eb="46">
      <t>ヘンキャク</t>
    </rPh>
    <rPh sb="48" eb="52">
      <t>ショリホウシキ</t>
    </rPh>
    <phoneticPr fontId="2"/>
  </si>
  <si>
    <t>URL設計</t>
    <rPh sb="3" eb="5">
      <t>セッケイ</t>
    </rPh>
    <phoneticPr fontId="2"/>
  </si>
  <si>
    <t>ルーティング</t>
    <phoneticPr fontId="2"/>
  </si>
  <si>
    <t>HTTPリクエストとアクションクラスのメソッドとの紐づけ(ルーティング)には、ルーティングアダプタを使用する。</t>
    <rPh sb="25" eb="26">
      <t>ヒモ</t>
    </rPh>
    <rPh sb="50" eb="52">
      <t>シヨウ</t>
    </rPh>
    <phoneticPr fontId="2"/>
  </si>
  <si>
    <t>ルーティングアダプタについては以下を参照。</t>
    <rPh sb="15" eb="17">
      <t>イカ</t>
    </rPh>
    <rPh sb="18" eb="20">
      <t>サンショウ</t>
    </rPh>
    <phoneticPr fontId="2"/>
  </si>
  <si>
    <t>https://nablarch.github.io/docs/6u2/doc/application_framework/adaptors/router_adaptor.html</t>
    <phoneticPr fontId="2"/>
  </si>
  <si>
    <t>実装に直接ルーティング定義が書かれることで実装とルーティングの対応が把握しやすいため、</t>
    <rPh sb="0" eb="2">
      <t>ジッソウ</t>
    </rPh>
    <rPh sb="3" eb="5">
      <t>チョクセツ</t>
    </rPh>
    <rPh sb="11" eb="13">
      <t>テイギ</t>
    </rPh>
    <rPh sb="14" eb="15">
      <t>カ</t>
    </rPh>
    <rPh sb="21" eb="23">
      <t>ジッソウ</t>
    </rPh>
    <rPh sb="31" eb="33">
      <t>タイオウ</t>
    </rPh>
    <rPh sb="34" eb="36">
      <t>ハアク</t>
    </rPh>
    <phoneticPr fontId="2"/>
  </si>
  <si>
    <t>本システムでは@Pathアノテーションを用いた方法を採用する。</t>
    <rPh sb="0" eb="1">
      <t>ホン</t>
    </rPh>
    <rPh sb="20" eb="21">
      <t>モチ</t>
    </rPh>
    <rPh sb="23" eb="25">
      <t>ホウホウ</t>
    </rPh>
    <rPh sb="26" eb="28">
      <t>サイヨウ</t>
    </rPh>
    <phoneticPr fontId="2"/>
  </si>
  <si>
    <t>なお、URLの構成要素のうちアプリケーションで制御できるのはパス以降の部分となるため、本節ではこちらの設計方針を記載する。</t>
    <rPh sb="7" eb="9">
      <t>コウセイ</t>
    </rPh>
    <rPh sb="9" eb="11">
      <t>ヨウソ</t>
    </rPh>
    <rPh sb="23" eb="25">
      <t>セイギョ</t>
    </rPh>
    <rPh sb="32" eb="34">
      <t>イコウ</t>
    </rPh>
    <rPh sb="35" eb="37">
      <t>ブブン</t>
    </rPh>
    <rPh sb="43" eb="45">
      <t>ホンセツ</t>
    </rPh>
    <rPh sb="51" eb="53">
      <t>セッケイ</t>
    </rPh>
    <rPh sb="53" eb="55">
      <t>ホウシン</t>
    </rPh>
    <rPh sb="56" eb="58">
      <t>キサイ</t>
    </rPh>
    <phoneticPr fontId="2"/>
  </si>
  <si>
    <t>URL設計方針</t>
    <rPh sb="3" eb="7">
      <t>セッケイホウシン</t>
    </rPh>
    <phoneticPr fontId="2"/>
  </si>
  <si>
    <t>アプリケーションで制御できるパス部分は、以下のような要素に分解して整理、設計する。</t>
    <rPh sb="9" eb="11">
      <t>セイギョ</t>
    </rPh>
    <rPh sb="16" eb="18">
      <t>ブブン</t>
    </rPh>
    <rPh sb="20" eb="22">
      <t>イカ</t>
    </rPh>
    <rPh sb="26" eb="28">
      <t>ヨウソ</t>
    </rPh>
    <rPh sb="29" eb="31">
      <t>ブンカイ</t>
    </rPh>
    <rPh sb="33" eb="35">
      <t>セイリ</t>
    </rPh>
    <rPh sb="36" eb="38">
      <t>セッケイ</t>
    </rPh>
    <phoneticPr fontId="2"/>
  </si>
  <si>
    <t>要素</t>
    <rPh sb="0" eb="2">
      <t>ヨウソ</t>
    </rPh>
    <phoneticPr fontId="2"/>
  </si>
  <si>
    <t>内容</t>
    <rPh sb="0" eb="2">
      <t>ナイヨウ</t>
    </rPh>
    <phoneticPr fontId="2"/>
  </si>
  <si>
    <t>(1)</t>
    <phoneticPr fontId="2"/>
  </si>
  <si>
    <t>&lt;コンテキストパス&gt;</t>
    <phoneticPr fontId="2"/>
  </si>
  <si>
    <t>プロジェクトパッケージパスの共通部分に対応する要素を定義する。</t>
    <rPh sb="14" eb="16">
      <t>キョウツウ</t>
    </rPh>
    <rPh sb="16" eb="18">
      <t>ブブン</t>
    </rPh>
    <rPh sb="19" eb="21">
      <t>タイオウ</t>
    </rPh>
    <rPh sb="23" eb="25">
      <t>ヨウソ</t>
    </rPh>
    <rPh sb="26" eb="28">
      <t>テイギ</t>
    </rPh>
    <phoneticPr fontId="2"/>
  </si>
  <si>
    <t>(2)</t>
    <phoneticPr fontId="2"/>
  </si>
  <si>
    <t>&lt;機能種別を表すID&gt;</t>
    <rPh sb="1" eb="3">
      <t>キノウ</t>
    </rPh>
    <rPh sb="3" eb="5">
      <t>シュベツ</t>
    </rPh>
    <rPh sb="6" eb="7">
      <t>アラワ</t>
    </rPh>
    <phoneticPr fontId="2"/>
  </si>
  <si>
    <t>「api」とする。</t>
    <phoneticPr fontId="2"/>
  </si>
  <si>
    <t>(3)</t>
    <phoneticPr fontId="2"/>
  </si>
  <si>
    <t>&lt;サブシステム名&gt;</t>
    <rPh sb="7" eb="8">
      <t>メイ</t>
    </rPh>
    <phoneticPr fontId="2"/>
  </si>
  <si>
    <t>機能が属するサブシステム名。</t>
    <phoneticPr fontId="2"/>
  </si>
  <si>
    <t>(4)</t>
    <phoneticPr fontId="2"/>
  </si>
  <si>
    <t>&lt;アクション名&gt;</t>
    <rPh sb="6" eb="7">
      <t>メイ</t>
    </rPh>
    <phoneticPr fontId="2"/>
  </si>
  <si>
    <t>実行対象のアクションクラス名。</t>
    <rPh sb="0" eb="4">
      <t>ジッコウタイショウ</t>
    </rPh>
    <rPh sb="13" eb="14">
      <t>メイ</t>
    </rPh>
    <phoneticPr fontId="2"/>
  </si>
  <si>
    <t>(5)</t>
    <phoneticPr fontId="2"/>
  </si>
  <si>
    <t>&lt;メソッド名&gt;</t>
    <rPh sb="5" eb="6">
      <t>メイ</t>
    </rPh>
    <phoneticPr fontId="2"/>
  </si>
  <si>
    <t>実行対象のアクションクラスのメソッド名。</t>
    <rPh sb="0" eb="4">
      <t>ジッコウタイショウ</t>
    </rPh>
    <rPh sb="18" eb="19">
      <t>メイ</t>
    </rPh>
    <phoneticPr fontId="2"/>
  </si>
  <si>
    <t>HTTPメソッド</t>
    <phoneticPr fontId="2"/>
  </si>
  <si>
    <t>アクションクラスにて、リクエストを受け付けるメソッドに対してはパスに加えてHTTPメソッドも指定する必要がある。</t>
    <rPh sb="17" eb="18">
      <t>ウ</t>
    </rPh>
    <rPh sb="19" eb="20">
      <t>ツ</t>
    </rPh>
    <rPh sb="27" eb="28">
      <t>タイ</t>
    </rPh>
    <rPh sb="34" eb="35">
      <t>クワ</t>
    </rPh>
    <rPh sb="46" eb="48">
      <t>シテイ</t>
    </rPh>
    <rPh sb="50" eb="52">
      <t>ヒツヨウ</t>
    </rPh>
    <phoneticPr fontId="2"/>
  </si>
  <si>
    <t>HTTPメソッドの使い分けは、以下の方針とする。</t>
    <rPh sb="9" eb="10">
      <t>ツカ</t>
    </rPh>
    <rPh sb="11" eb="12">
      <t>ワ</t>
    </rPh>
    <rPh sb="15" eb="17">
      <t>イカ</t>
    </rPh>
    <rPh sb="18" eb="20">
      <t>ホウシン</t>
    </rPh>
    <phoneticPr fontId="2"/>
  </si>
  <si>
    <t>方針</t>
    <rPh sb="0" eb="2">
      <t>ホウシン</t>
    </rPh>
    <phoneticPr fontId="2"/>
  </si>
  <si>
    <t>GET</t>
    <phoneticPr fontId="2"/>
  </si>
  <si>
    <t>情報の取得</t>
    <rPh sb="0" eb="2">
      <t>ジョウホウ</t>
    </rPh>
    <rPh sb="3" eb="5">
      <t>シュトク</t>
    </rPh>
    <phoneticPr fontId="2"/>
  </si>
  <si>
    <t>POST</t>
    <phoneticPr fontId="2"/>
  </si>
  <si>
    <t>情報の登録</t>
    <rPh sb="0" eb="2">
      <t>ジョウホウ</t>
    </rPh>
    <rPh sb="3" eb="5">
      <t>トウロク</t>
    </rPh>
    <phoneticPr fontId="2"/>
  </si>
  <si>
    <t>PUT</t>
    <phoneticPr fontId="2"/>
  </si>
  <si>
    <t>情報の更新</t>
    <rPh sb="0" eb="2">
      <t>ジョウホウ</t>
    </rPh>
    <rPh sb="3" eb="5">
      <t>コウシン</t>
    </rPh>
    <phoneticPr fontId="2"/>
  </si>
  <si>
    <t>DELETE</t>
    <phoneticPr fontId="2"/>
  </si>
  <si>
    <t>情報の削除</t>
    <rPh sb="0" eb="2">
      <t>ジョウホウ</t>
    </rPh>
    <rPh sb="3" eb="5">
      <t>サクジョ</t>
    </rPh>
    <phoneticPr fontId="2"/>
  </si>
  <si>
    <t>※リクエストに機密情報を含む場合は情報の取得であってもPOSTを使用すること。</t>
    <phoneticPr fontId="2"/>
  </si>
  <si>
    <t>HTTPステータスコード</t>
    <phoneticPr fontId="2"/>
  </si>
  <si>
    <t>アクションクラスが返却するレスポンスの内容には、HTTPステータスコードが含まれる。HTTPステータスコードは</t>
    <rPh sb="9" eb="11">
      <t>ヘンキャク</t>
    </rPh>
    <rPh sb="19" eb="21">
      <t>ナイヨウ</t>
    </rPh>
    <rPh sb="37" eb="38">
      <t>フク</t>
    </rPh>
    <phoneticPr fontId="2"/>
  </si>
  <si>
    <t>HTTPの仕様に則り、以下の意味で使い分けを行う。</t>
    <rPh sb="5" eb="7">
      <t>シヨウ</t>
    </rPh>
    <rPh sb="8" eb="9">
      <t>ノット</t>
    </rPh>
    <rPh sb="11" eb="13">
      <t>イカ</t>
    </rPh>
    <rPh sb="14" eb="16">
      <t>イミ</t>
    </rPh>
    <rPh sb="17" eb="18">
      <t>ツカ</t>
    </rPh>
    <rPh sb="19" eb="20">
      <t>ワ</t>
    </rPh>
    <rPh sb="22" eb="23">
      <t>オコナ</t>
    </rPh>
    <phoneticPr fontId="2"/>
  </si>
  <si>
    <t>意味</t>
    <rPh sb="0" eb="2">
      <t>イミ</t>
    </rPh>
    <phoneticPr fontId="2"/>
  </si>
  <si>
    <t>200～299</t>
    <phoneticPr fontId="2"/>
  </si>
  <si>
    <t>成功を表す</t>
    <rPh sb="0" eb="2">
      <t>セイコウ</t>
    </rPh>
    <rPh sb="3" eb="4">
      <t>アラワ</t>
    </rPh>
    <phoneticPr fontId="2"/>
  </si>
  <si>
    <t>300～399</t>
    <phoneticPr fontId="2"/>
  </si>
  <si>
    <t>リダイレクトを表す</t>
    <rPh sb="7" eb="8">
      <t>アラワ</t>
    </rPh>
    <phoneticPr fontId="2"/>
  </si>
  <si>
    <t>400～499</t>
    <phoneticPr fontId="2"/>
  </si>
  <si>
    <t>500～599</t>
    <phoneticPr fontId="2"/>
  </si>
  <si>
    <t>(データベース接続エラー、予期しないエラーなど)</t>
    <rPh sb="7" eb="9">
      <t>セツゾク</t>
    </rPh>
    <rPh sb="13" eb="15">
      <t>ヨキ</t>
    </rPh>
    <phoneticPr fontId="2"/>
  </si>
  <si>
    <t>基本的には個々の機能でHTTPステータスコードを意識した実装を行うことはないが、HTTPステータスコードを明示的に設定する必要が</t>
    <rPh sb="0" eb="3">
      <t>キホンテキ</t>
    </rPh>
    <rPh sb="5" eb="7">
      <t>ココ</t>
    </rPh>
    <rPh sb="8" eb="10">
      <t>キノウ</t>
    </rPh>
    <rPh sb="24" eb="26">
      <t>イシキ</t>
    </rPh>
    <rPh sb="28" eb="30">
      <t>ジッソウ</t>
    </rPh>
    <rPh sb="31" eb="32">
      <t>オコナ</t>
    </rPh>
    <rPh sb="53" eb="56">
      <t>メイジテキ</t>
    </rPh>
    <rPh sb="57" eb="59">
      <t>セッテイ</t>
    </rPh>
    <rPh sb="61" eb="63">
      <t>ヒツヨウ</t>
    </rPh>
    <phoneticPr fontId="2"/>
  </si>
  <si>
    <t>ある場合は、上記規則に従った設計および実装を行う方針とする。</t>
    <rPh sb="2" eb="4">
      <t>バアイ</t>
    </rPh>
    <rPh sb="6" eb="8">
      <t>ジョウキ</t>
    </rPh>
    <rPh sb="8" eb="10">
      <t>キソク</t>
    </rPh>
    <rPh sb="11" eb="12">
      <t>シタガ</t>
    </rPh>
    <rPh sb="14" eb="16">
      <t>セッケイ</t>
    </rPh>
    <rPh sb="19" eb="21">
      <t>ジッソウ</t>
    </rPh>
    <rPh sb="22" eb="23">
      <t>オコナ</t>
    </rPh>
    <rPh sb="24" eb="26">
      <t>ホウシン</t>
    </rPh>
    <phoneticPr fontId="2"/>
  </si>
  <si>
    <t>データの保持</t>
    <rPh sb="4" eb="6">
      <t>ホジ</t>
    </rPh>
    <phoneticPr fontId="2"/>
  </si>
  <si>
    <t>Nablarchには、アプリケーション内部でデータを保持する仕組みが用意されている。</t>
    <rPh sb="19" eb="21">
      <t>ナイブ</t>
    </rPh>
    <rPh sb="26" eb="28">
      <t>ホジ</t>
    </rPh>
    <rPh sb="30" eb="32">
      <t>シク</t>
    </rPh>
    <rPh sb="34" eb="36">
      <t>ヨウイ</t>
    </rPh>
    <phoneticPr fontId="2"/>
  </si>
  <si>
    <t>データの保持期間の種類をスコープと呼び、以下の二種類をサポートしている。</t>
    <rPh sb="4" eb="6">
      <t>ホジ</t>
    </rPh>
    <rPh sb="6" eb="8">
      <t>キカン</t>
    </rPh>
    <rPh sb="9" eb="11">
      <t>シュルイ</t>
    </rPh>
    <rPh sb="17" eb="18">
      <t>ヨ</t>
    </rPh>
    <rPh sb="20" eb="22">
      <t>イカ</t>
    </rPh>
    <rPh sb="23" eb="26">
      <t>ニシュルイ</t>
    </rPh>
    <phoneticPr fontId="2"/>
  </si>
  <si>
    <t>種類</t>
    <rPh sb="0" eb="2">
      <t>シュルイ</t>
    </rPh>
    <phoneticPr fontId="2"/>
  </si>
  <si>
    <t>説明</t>
    <rPh sb="0" eb="2">
      <t>セツメイ</t>
    </rPh>
    <phoneticPr fontId="2"/>
  </si>
  <si>
    <t>リクエストスコープ</t>
    <phoneticPr fontId="2"/>
  </si>
  <si>
    <t>セッションスコープ</t>
    <phoneticPr fontId="2"/>
  </si>
  <si>
    <t>リクエストスコープのみを使用する。</t>
    <rPh sb="12" eb="14">
      <t>シヨウ</t>
    </rPh>
    <phoneticPr fontId="2"/>
  </si>
  <si>
    <t>エラー処理</t>
    <rPh sb="3" eb="5">
      <t>ショリ</t>
    </rPh>
    <phoneticPr fontId="2"/>
  </si>
  <si>
    <t>エラーハンドリング方針</t>
    <phoneticPr fontId="2"/>
  </si>
  <si>
    <t>アプリケーション内では様々なエラーが発生することが考えられるが、その中でも業務的なエラーと業務仕様として想定していないシステム的な</t>
    <rPh sb="8" eb="9">
      <t>ナイ</t>
    </rPh>
    <rPh sb="11" eb="13">
      <t>サマザマ</t>
    </rPh>
    <rPh sb="18" eb="20">
      <t>ハッセイ</t>
    </rPh>
    <rPh sb="25" eb="26">
      <t>カンガ</t>
    </rPh>
    <rPh sb="34" eb="35">
      <t>ナカ</t>
    </rPh>
    <rPh sb="37" eb="40">
      <t>ギョウムテキ</t>
    </rPh>
    <rPh sb="45" eb="47">
      <t>ギョウム</t>
    </rPh>
    <rPh sb="47" eb="49">
      <t>シヨウ</t>
    </rPh>
    <rPh sb="52" eb="54">
      <t>ソウテイ</t>
    </rPh>
    <rPh sb="63" eb="64">
      <t>テキ</t>
    </rPh>
    <phoneticPr fontId="2"/>
  </si>
  <si>
    <t>エラーに大別される。また、業務的なエラーの中でも認証・認可に関わるものは方針が異なるので、別の分類として扱う。</t>
    <rPh sb="4" eb="6">
      <t>タイベツ</t>
    </rPh>
    <rPh sb="13" eb="16">
      <t>ギョウムテキ</t>
    </rPh>
    <rPh sb="21" eb="22">
      <t>ナカ</t>
    </rPh>
    <rPh sb="24" eb="26">
      <t>ニンショウ</t>
    </rPh>
    <rPh sb="27" eb="29">
      <t>ニンカ</t>
    </rPh>
    <rPh sb="30" eb="31">
      <t>カカ</t>
    </rPh>
    <rPh sb="36" eb="38">
      <t>ホウシン</t>
    </rPh>
    <rPh sb="39" eb="40">
      <t>コト</t>
    </rPh>
    <rPh sb="45" eb="46">
      <t>ベツ</t>
    </rPh>
    <rPh sb="47" eb="49">
      <t>ブンルイ</t>
    </rPh>
    <rPh sb="52" eb="53">
      <t>アツカ</t>
    </rPh>
    <phoneticPr fontId="2"/>
  </si>
  <si>
    <t>各分類におけるエラーハンドリング方針を以下のように定める。</t>
    <rPh sb="0" eb="1">
      <t>カク</t>
    </rPh>
    <rPh sb="1" eb="3">
      <t>ブンルイ</t>
    </rPh>
    <rPh sb="16" eb="18">
      <t>ホウシン</t>
    </rPh>
    <rPh sb="19" eb="21">
      <t>イカ</t>
    </rPh>
    <rPh sb="25" eb="26">
      <t>サダ</t>
    </rPh>
    <phoneticPr fontId="2"/>
  </si>
  <si>
    <t>分類</t>
    <rPh sb="0" eb="2">
      <t>ブンルイ</t>
    </rPh>
    <phoneticPr fontId="2"/>
  </si>
  <si>
    <t>エラーハンドリング方針</t>
    <rPh sb="9" eb="11">
      <t>ホウシン</t>
    </rPh>
    <phoneticPr fontId="2"/>
  </si>
  <si>
    <t>業務エラー</t>
    <rPh sb="0" eb="2">
      <t>ギョウム</t>
    </rPh>
    <phoneticPr fontId="2"/>
  </si>
  <si>
    <t>Nablarchのエラーハンドリングの仕組みを使い、アプリケーション内で共通的にエラーをハンドリングする。</t>
    <rPh sb="19" eb="21">
      <t>シク</t>
    </rPh>
    <rPh sb="23" eb="24">
      <t>ツカ</t>
    </rPh>
    <rPh sb="34" eb="35">
      <t>ナイ</t>
    </rPh>
    <rPh sb="36" eb="39">
      <t>キョウツウテキ</t>
    </rPh>
    <phoneticPr fontId="2"/>
  </si>
  <si>
    <t>認証・認可エラー</t>
    <rPh sb="0" eb="2">
      <t>ニンショウ</t>
    </rPh>
    <rPh sb="3" eb="5">
      <t>ニンカ</t>
    </rPh>
    <phoneticPr fontId="2"/>
  </si>
  <si>
    <t>認証の制御はハンドラで実装し、認証エラー時は例外を送出して共通の仕組みでエラーをハンドリングする。</t>
    <rPh sb="0" eb="2">
      <t>ニンショウ</t>
    </rPh>
    <rPh sb="3" eb="5">
      <t>セイギョ</t>
    </rPh>
    <rPh sb="11" eb="13">
      <t>ジッソウ</t>
    </rPh>
    <rPh sb="15" eb="17">
      <t>ニンショウ</t>
    </rPh>
    <rPh sb="20" eb="21">
      <t>ジ</t>
    </rPh>
    <rPh sb="22" eb="24">
      <t>レイガイ</t>
    </rPh>
    <rPh sb="25" eb="27">
      <t>ソウシュツ</t>
    </rPh>
    <rPh sb="29" eb="31">
      <t>キョウツウ</t>
    </rPh>
    <rPh sb="32" eb="34">
      <t>シク</t>
    </rPh>
    <phoneticPr fontId="2"/>
  </si>
  <si>
    <t>システムエラー</t>
  </si>
  <si>
    <t>エラーの種類とエラー発生時のレスポンス</t>
    <phoneticPr fontId="2"/>
  </si>
  <si>
    <t>各分類におけるエラーの種類と、エラーが発生したときに返却するレスポンスの内容、HTTPステータスコードを以下のように定める。</t>
    <rPh sb="0" eb="1">
      <t>カク</t>
    </rPh>
    <rPh sb="1" eb="3">
      <t>ブンルイ</t>
    </rPh>
    <rPh sb="11" eb="13">
      <t>シュルイ</t>
    </rPh>
    <rPh sb="19" eb="21">
      <t>ハッセイ</t>
    </rPh>
    <rPh sb="26" eb="28">
      <t>ヘンキャク</t>
    </rPh>
    <rPh sb="36" eb="38">
      <t>ナイヨウ</t>
    </rPh>
    <phoneticPr fontId="2"/>
  </si>
  <si>
    <t>※本システムのRESTでは認可制御を行わないため認可エラーは発生しない。そのため認可エラーの項目をグレーアウトしている</t>
    <rPh sb="1" eb="2">
      <t>ホン</t>
    </rPh>
    <rPh sb="13" eb="15">
      <t>ニンカ</t>
    </rPh>
    <rPh sb="15" eb="17">
      <t>セイギョ</t>
    </rPh>
    <rPh sb="18" eb="19">
      <t>オコナ</t>
    </rPh>
    <rPh sb="24" eb="26">
      <t>ニンカ</t>
    </rPh>
    <rPh sb="30" eb="32">
      <t>ハッセイ</t>
    </rPh>
    <rPh sb="40" eb="42">
      <t>ニンカ</t>
    </rPh>
    <rPh sb="46" eb="48">
      <t>コウモク</t>
    </rPh>
    <phoneticPr fontId="2"/>
  </si>
  <si>
    <t>エラーの分類</t>
    <rPh sb="4" eb="6">
      <t>ブンルイ</t>
    </rPh>
    <phoneticPr fontId="2"/>
  </si>
  <si>
    <t>エラーの種類</t>
    <rPh sb="4" eb="6">
      <t>シュルイ</t>
    </rPh>
    <phoneticPr fontId="2"/>
  </si>
  <si>
    <t>レスポンス</t>
    <phoneticPr fontId="2"/>
  </si>
  <si>
    <t>ボディの有無</t>
    <rPh sb="4" eb="6">
      <t>ウム</t>
    </rPh>
    <phoneticPr fontId="2"/>
  </si>
  <si>
    <t>単項目精査エラー</t>
  </si>
  <si>
    <t>あり</t>
    <phoneticPr fontId="2"/>
  </si>
  <si>
    <t>400(Bad Request)</t>
    <phoneticPr fontId="2"/>
  </si>
  <si>
    <t>Requestに対する単項目精査でエラーが発生した場合。</t>
    <rPh sb="8" eb="9">
      <t>タイ</t>
    </rPh>
    <rPh sb="11" eb="12">
      <t>タン</t>
    </rPh>
    <rPh sb="12" eb="14">
      <t>コウモク</t>
    </rPh>
    <rPh sb="14" eb="16">
      <t>セイサ</t>
    </rPh>
    <rPh sb="21" eb="23">
      <t>ハッセイ</t>
    </rPh>
    <rPh sb="25" eb="27">
      <t>バアイ</t>
    </rPh>
    <phoneticPr fontId="2"/>
  </si>
  <si>
    <t>項目間精査エラー</t>
  </si>
  <si>
    <t>400(Bad Request)</t>
  </si>
  <si>
    <t>Requestに対する項目間精査でエラーが発生した場合。</t>
    <rPh sb="8" eb="9">
      <t>タイ</t>
    </rPh>
    <rPh sb="11" eb="13">
      <t>コウモク</t>
    </rPh>
    <rPh sb="13" eb="14">
      <t>アイダ</t>
    </rPh>
    <rPh sb="14" eb="16">
      <t>セイサ</t>
    </rPh>
    <rPh sb="21" eb="23">
      <t>ハッセイ</t>
    </rPh>
    <rPh sb="25" eb="27">
      <t>バアイ</t>
    </rPh>
    <phoneticPr fontId="2"/>
  </si>
  <si>
    <t>Requestが持つ値のみで</t>
  </si>
  <si>
    <t>Serviceで実施する業務チェックで発生するエラー。</t>
    <rPh sb="8" eb="10">
      <t>ジッシ</t>
    </rPh>
    <rPh sb="12" eb="14">
      <t>ギョウム</t>
    </rPh>
    <rPh sb="19" eb="21">
      <t>ハッセイ</t>
    </rPh>
    <phoneticPr fontId="2"/>
  </si>
  <si>
    <t>完結しない精査エラー</t>
    <phoneticPr fontId="2"/>
  </si>
  <si>
    <t>排他エラー</t>
  </si>
  <si>
    <t>409(Conflict)</t>
    <phoneticPr fontId="2"/>
  </si>
  <si>
    <t>楽観排他制御で発生するエラー。</t>
    <rPh sb="0" eb="2">
      <t>ラッカン</t>
    </rPh>
    <rPh sb="2" eb="4">
      <t>ハイタ</t>
    </rPh>
    <rPh sb="4" eb="6">
      <t>セイギョ</t>
    </rPh>
    <rPh sb="7" eb="9">
      <t>ハッセイ</t>
    </rPh>
    <phoneticPr fontId="2"/>
  </si>
  <si>
    <t>認証エラー</t>
    <rPh sb="0" eb="2">
      <t>ニンショウ</t>
    </rPh>
    <phoneticPr fontId="2"/>
  </si>
  <si>
    <t>なし</t>
    <phoneticPr fontId="2"/>
  </si>
  <si>
    <t>401(Unauthorized)</t>
    <phoneticPr fontId="2"/>
  </si>
  <si>
    <t>認可エラー</t>
    <rPh sb="0" eb="2">
      <t>ニンカ</t>
    </rPh>
    <phoneticPr fontId="2"/>
  </si>
  <si>
    <t>403(Forbidden)</t>
    <phoneticPr fontId="2"/>
  </si>
  <si>
    <t>アクセスした場合。</t>
    <phoneticPr fontId="2"/>
  </si>
  <si>
    <t>システムエラー</t>
    <phoneticPr fontId="2"/>
  </si>
  <si>
    <t>404(Not Found)</t>
    <phoneticPr fontId="2"/>
  </si>
  <si>
    <t>不許可HTTPメソッド</t>
    <rPh sb="0" eb="1">
      <t>フ</t>
    </rPh>
    <rPh sb="1" eb="3">
      <t>キョカ</t>
    </rPh>
    <phoneticPr fontId="2"/>
  </si>
  <si>
    <t>404(Not Found)</t>
  </si>
  <si>
    <t>アクセスされたURLに対して許可していないHTTP</t>
    <rPh sb="11" eb="12">
      <t>タイ</t>
    </rPh>
    <rPh sb="14" eb="16">
      <t>キョカ</t>
    </rPh>
    <phoneticPr fontId="2"/>
  </si>
  <si>
    <t>エラー</t>
    <phoneticPr fontId="2"/>
  </si>
  <si>
    <t>メソッドが使用された場合。</t>
    <rPh sb="5" eb="7">
      <t>シヨウ</t>
    </rPh>
    <rPh sb="10" eb="12">
      <t>バアイ</t>
    </rPh>
    <phoneticPr fontId="2"/>
  </si>
  <si>
    <t>JSON変換エラー</t>
    <rPh sb="4" eb="6">
      <t>ヘンカン</t>
    </rPh>
    <phoneticPr fontId="2"/>
  </si>
  <si>
    <t>クライアントから送信されたJSONの変換に失敗した場合。</t>
    <rPh sb="8" eb="10">
      <t>ソウシン</t>
    </rPh>
    <rPh sb="18" eb="20">
      <t>ヘンカン</t>
    </rPh>
    <rPh sb="21" eb="23">
      <t>シッパイ</t>
    </rPh>
    <rPh sb="25" eb="27">
      <t>バアイ</t>
    </rPh>
    <phoneticPr fontId="2"/>
  </si>
  <si>
    <t>その他予期しないエラー</t>
  </si>
  <si>
    <t>500(Internal Server</t>
    <phoneticPr fontId="2"/>
  </si>
  <si>
    <t>データベースへのアクセス不可など、予期せぬエラー。</t>
    <phoneticPr fontId="2"/>
  </si>
  <si>
    <t xml:space="preserve"> Error)</t>
    <phoneticPr fontId="2"/>
  </si>
  <si>
    <t>レスポンスボディを返却する場合は、以下のフォーマットとする。</t>
    <rPh sb="9" eb="11">
      <t>ヘンキャク</t>
    </rPh>
    <rPh sb="13" eb="15">
      <t>バアイ</t>
    </rPh>
    <rPh sb="17" eb="19">
      <t>イカ</t>
    </rPh>
    <phoneticPr fontId="2"/>
  </si>
  <si>
    <t>レスポンスボディに含めるメッセージは、精査エラー時のメッセージや個々の要件に従う。</t>
    <rPh sb="9" eb="10">
      <t>フク</t>
    </rPh>
    <rPh sb="19" eb="21">
      <t>セイサ</t>
    </rPh>
    <rPh sb="24" eb="25">
      <t>ジ</t>
    </rPh>
    <rPh sb="32" eb="34">
      <t>ココ</t>
    </rPh>
    <rPh sb="35" eb="37">
      <t>ヨウケン</t>
    </rPh>
    <rPh sb="38" eb="39">
      <t>シタガ</t>
    </rPh>
    <phoneticPr fontId="2"/>
  </si>
  <si>
    <t>{</t>
    <phoneticPr fontId="2"/>
  </si>
  <si>
    <t>"faultCode": "障害コード",</t>
    <rPh sb="14" eb="16">
      <t>ショウガイ</t>
    </rPh>
    <phoneticPr fontId="2"/>
  </si>
  <si>
    <t>"messages": [</t>
    <phoneticPr fontId="2"/>
  </si>
  <si>
    <t>"エラーメッセージ",</t>
    <phoneticPr fontId="2"/>
  </si>
  <si>
    <t>"エラーメッセージ"</t>
    <phoneticPr fontId="2"/>
  </si>
  <si>
    <t>…</t>
    <phoneticPr fontId="2"/>
  </si>
  <si>
    <t>]</t>
    <phoneticPr fontId="2"/>
  </si>
  <si>
    <t>}</t>
    <phoneticPr fontId="2"/>
  </si>
  <si>
    <t>データフォーマット</t>
    <phoneticPr fontId="2"/>
  </si>
  <si>
    <t>リクエストおよびレスポンスのデータフォーマットはJSONとする。</t>
    <phoneticPr fontId="2"/>
  </si>
  <si>
    <t>JSONのキーはLower Camel Caseで記述する。</t>
    <rPh sb="25" eb="27">
      <t>キジュツ</t>
    </rPh>
    <phoneticPr fontId="2"/>
  </si>
  <si>
    <t>日時については文字列で扱うこととし、ISO 8601（拡張形式）に準じたフォーマットとする。</t>
    <phoneticPr fontId="2"/>
  </si>
  <si>
    <t>ページング</t>
    <phoneticPr fontId="2"/>
  </si>
  <si>
    <t>方式としては、limitとoffsetを使用したオフセットベースのページングとする。</t>
    <rPh sb="0" eb="2">
      <t>ホウシキ</t>
    </rPh>
    <rPh sb="20" eb="22">
      <t>シヨウ</t>
    </rPh>
    <phoneticPr fontId="2"/>
  </si>
  <si>
    <t>パラメータ</t>
    <phoneticPr fontId="2"/>
  </si>
  <si>
    <t>limit</t>
    <phoneticPr fontId="2"/>
  </si>
  <si>
    <t>返される最大のレコード数</t>
    <rPh sb="0" eb="1">
      <t>カエ</t>
    </rPh>
    <rPh sb="4" eb="6">
      <t>サイダイ</t>
    </rPh>
    <rPh sb="11" eb="12">
      <t>スウ</t>
    </rPh>
    <phoneticPr fontId="2"/>
  </si>
  <si>
    <t>offset</t>
    <phoneticPr fontId="2"/>
  </si>
  <si>
    <t>最初に返されるレコードのオフセット</t>
    <rPh sb="0" eb="2">
      <t>サイショ</t>
    </rPh>
    <rPh sb="3" eb="4">
      <t>カエ</t>
    </rPh>
    <phoneticPr fontId="2"/>
  </si>
  <si>
    <t>具体的な実装方法については【開発ガイド】を参照すること。</t>
    <rPh sb="0" eb="3">
      <t>グタイテキ</t>
    </rPh>
    <rPh sb="4" eb="6">
      <t>ジッソウ</t>
    </rPh>
    <rPh sb="6" eb="8">
      <t>ホウホウ</t>
    </rPh>
    <rPh sb="14" eb="16">
      <t>カイハツ</t>
    </rPh>
    <rPh sb="21" eb="23">
      <t>サンショウ</t>
    </rPh>
    <phoneticPr fontId="2"/>
  </si>
  <si>
    <t>CORS</t>
    <phoneticPr fontId="2"/>
  </si>
  <si>
    <t>本システムのRESTの利用は外部システムからのシステム連携のみで、Webブラウザからのクロスオリジンのリクエストは想定していない。</t>
    <rPh sb="0" eb="1">
      <t>ホン</t>
    </rPh>
    <rPh sb="11" eb="13">
      <t>リヨウ</t>
    </rPh>
    <rPh sb="14" eb="16">
      <t>ガイブ</t>
    </rPh>
    <rPh sb="27" eb="29">
      <t>レンケイ</t>
    </rPh>
    <rPh sb="57" eb="59">
      <t>ソウテイ</t>
    </rPh>
    <phoneticPr fontId="2"/>
  </si>
  <si>
    <t>したがって、CORSの対応は実施しない。</t>
    <rPh sb="11" eb="13">
      <t>タイオウ</t>
    </rPh>
    <rPh sb="14" eb="16">
      <t>ジッシ</t>
    </rPh>
    <phoneticPr fontId="2"/>
  </si>
  <si>
    <t>CSRF</t>
    <phoneticPr fontId="2"/>
  </si>
  <si>
    <t>本システムのRESTの利用は外部システムからのシステム連携のみで、Webブラウザからのリクエストは想定していない。</t>
    <rPh sb="0" eb="1">
      <t>ホン</t>
    </rPh>
    <rPh sb="11" eb="13">
      <t>リヨウ</t>
    </rPh>
    <rPh sb="14" eb="16">
      <t>ガイブ</t>
    </rPh>
    <rPh sb="27" eb="29">
      <t>レンケイ</t>
    </rPh>
    <rPh sb="49" eb="51">
      <t>ソウテイ</t>
    </rPh>
    <phoneticPr fontId="2"/>
  </si>
  <si>
    <t>したがって、CSRFの対策は実施しない。</t>
    <rPh sb="11" eb="13">
      <t>タイサク</t>
    </rPh>
    <rPh sb="14" eb="16">
      <t>ジッシ</t>
    </rPh>
    <phoneticPr fontId="2"/>
  </si>
  <si>
    <t>キャッシュ制御</t>
    <phoneticPr fontId="2"/>
  </si>
  <si>
    <t>キャッシュ制御用HTTPヘッダ</t>
    <rPh sb="5" eb="7">
      <t>セイギョ</t>
    </rPh>
    <rPh sb="7" eb="8">
      <t>ヨウ</t>
    </rPh>
    <phoneticPr fontId="2"/>
  </si>
  <si>
    <t>クライアントやネットワーク機器に対するキャッシュを抑制するため、以下のキャッシュ制御用HTTPヘッダを付与する。</t>
    <rPh sb="13" eb="15">
      <t>キキ</t>
    </rPh>
    <rPh sb="16" eb="17">
      <t>タイ</t>
    </rPh>
    <rPh sb="25" eb="27">
      <t>ヨクセイ</t>
    </rPh>
    <phoneticPr fontId="2"/>
  </si>
  <si>
    <t>HTTPヘッダ名</t>
    <rPh sb="7" eb="8">
      <t>メイ</t>
    </rPh>
    <phoneticPr fontId="2"/>
  </si>
  <si>
    <t>設定値</t>
    <rPh sb="0" eb="2">
      <t>セッテイ</t>
    </rPh>
    <rPh sb="2" eb="3">
      <t>アタイ</t>
    </rPh>
    <phoneticPr fontId="2"/>
  </si>
  <si>
    <t>Cache-Control</t>
    <phoneticPr fontId="2"/>
  </si>
  <si>
    <t>no-cache, no-store, max-age=0, must-revalidate</t>
    <phoneticPr fontId="2"/>
  </si>
  <si>
    <t>レスポンスがプロキシなどの共有キャッシュに保存されることを</t>
    <rPh sb="13" eb="15">
      <t>キョウユウ</t>
    </rPh>
    <rPh sb="21" eb="23">
      <t>ホゾン</t>
    </rPh>
    <phoneticPr fontId="2"/>
  </si>
  <si>
    <t>抑制する</t>
    <phoneticPr fontId="2"/>
  </si>
  <si>
    <t>Pragma</t>
    <phoneticPr fontId="2"/>
  </si>
  <si>
    <t>no-cache</t>
    <phoneticPr fontId="2"/>
  </si>
  <si>
    <t>Cache-Control: no-cacheと同様の意味を持つが、</t>
    <rPh sb="24" eb="26">
      <t>ドウヨウ</t>
    </rPh>
    <rPh sb="27" eb="29">
      <t>イミ</t>
    </rPh>
    <rPh sb="30" eb="31">
      <t>モ</t>
    </rPh>
    <phoneticPr fontId="2"/>
  </si>
  <si>
    <t>HTTP/1.0との互換性のために指定</t>
    <rPh sb="10" eb="13">
      <t>ゴカンセイ</t>
    </rPh>
    <rPh sb="17" eb="19">
      <t>シテイ</t>
    </rPh>
    <phoneticPr fontId="2"/>
  </si>
  <si>
    <t>Expires</t>
    <phoneticPr fontId="2"/>
  </si>
  <si>
    <t>0</t>
    <phoneticPr fontId="2"/>
  </si>
  <si>
    <t>キャッシュの寿命(鮮度)を0とする</t>
    <rPh sb="6" eb="8">
      <t>ジュミョウ</t>
    </rPh>
    <rPh sb="9" eb="11">
      <t>センド</t>
    </rPh>
    <phoneticPr fontId="2"/>
  </si>
  <si>
    <t>Cookie</t>
    <phoneticPr fontId="2"/>
  </si>
  <si>
    <t>開閉局</t>
    <phoneticPr fontId="2"/>
  </si>
  <si>
    <t>開閉局とは、Webアプリケーションを業務時間に応じてサービス提供停止(閉局処理)、および、その再開(開局処理)を制御する機能である。</t>
    <rPh sb="0" eb="2">
      <t>カイヘイ</t>
    </rPh>
    <rPh sb="2" eb="3">
      <t>キョク</t>
    </rPh>
    <rPh sb="18" eb="20">
      <t>ギョウム</t>
    </rPh>
    <rPh sb="20" eb="22">
      <t>ジカン</t>
    </rPh>
    <rPh sb="23" eb="24">
      <t>オウ</t>
    </rPh>
    <rPh sb="56" eb="58">
      <t>セイギョ</t>
    </rPh>
    <rPh sb="60" eb="62">
      <t>キノウ</t>
    </rPh>
    <phoneticPr fontId="2"/>
  </si>
  <si>
    <t>このような制御を行う単位として以下が考えられ、本システムでの対応方針を合わせて記載する。</t>
    <rPh sb="5" eb="7">
      <t>セイギョ</t>
    </rPh>
    <rPh sb="8" eb="9">
      <t>オコナ</t>
    </rPh>
    <rPh sb="10" eb="12">
      <t>タンイ</t>
    </rPh>
    <rPh sb="15" eb="17">
      <t>イカ</t>
    </rPh>
    <rPh sb="18" eb="19">
      <t>カンガ</t>
    </rPh>
    <rPh sb="23" eb="24">
      <t>ホン</t>
    </rPh>
    <rPh sb="30" eb="32">
      <t>タイオウ</t>
    </rPh>
    <rPh sb="32" eb="34">
      <t>ホウシン</t>
    </rPh>
    <rPh sb="35" eb="36">
      <t>ア</t>
    </rPh>
    <rPh sb="39" eb="41">
      <t>キサイ</t>
    </rPh>
    <phoneticPr fontId="2"/>
  </si>
  <si>
    <t>単位</t>
    <rPh sb="0" eb="2">
      <t>タンイ</t>
    </rPh>
    <phoneticPr fontId="2"/>
  </si>
  <si>
    <t>本システムでの開閉局制御対応</t>
  </si>
  <si>
    <t>Webアプリケーション単位</t>
    <rPh sb="11" eb="13">
      <t>タンイ</t>
    </rPh>
    <phoneticPr fontId="2"/>
  </si>
  <si>
    <t>対応しない</t>
    <rPh sb="0" eb="2">
      <t>タイオウ</t>
    </rPh>
    <phoneticPr fontId="2"/>
  </si>
  <si>
    <t>リクエスト単位</t>
    <rPh sb="5" eb="7">
      <t>タンイ</t>
    </rPh>
    <phoneticPr fontId="2"/>
  </si>
  <si>
    <t>本システムではWebアプリケーション単位の開閉局制御はロードバランサで行うため、アプリとしては対応しない。</t>
    <rPh sb="0" eb="1">
      <t>ホン</t>
    </rPh>
    <rPh sb="18" eb="20">
      <t>タンイ</t>
    </rPh>
    <rPh sb="21" eb="24">
      <t>カイヘイキョク</t>
    </rPh>
    <rPh sb="24" eb="26">
      <t>セイギョ</t>
    </rPh>
    <rPh sb="35" eb="36">
      <t>オコナ</t>
    </rPh>
    <rPh sb="47" eb="49">
      <t>タイオウ</t>
    </rPh>
    <phoneticPr fontId="2"/>
  </si>
  <si>
    <t>またリクエスト単位での開閉局制御は要件として無いため対応しない。</t>
    <rPh sb="7" eb="9">
      <t>タンイ</t>
    </rPh>
    <rPh sb="11" eb="16">
      <t>カイヘイキョクセイギョ</t>
    </rPh>
    <rPh sb="17" eb="19">
      <t>ヨウケン</t>
    </rPh>
    <rPh sb="22" eb="23">
      <t>ナ</t>
    </rPh>
    <rPh sb="26" eb="28">
      <t>タイオウ</t>
    </rPh>
    <phoneticPr fontId="2"/>
  </si>
  <si>
    <t>ロードバランサによる閉局時刻をまたぐリクエストの挙動としては、閉局時点で既にサーバサイドで受け付けたリクエストについては処理を行うが、</t>
    <rPh sb="10" eb="12">
      <t>ヘイキョク</t>
    </rPh>
    <phoneticPr fontId="2"/>
  </si>
  <si>
    <t>新規のリクエストの受付は行われない。</t>
  </si>
  <si>
    <t>本システムのRESTでは認可の要件は無いので制御は行わない。</t>
    <rPh sb="0" eb="1">
      <t>ホン</t>
    </rPh>
    <rPh sb="12" eb="14">
      <t>ニンカ</t>
    </rPh>
    <rPh sb="15" eb="17">
      <t>ヨウケン</t>
    </rPh>
    <rPh sb="18" eb="19">
      <t>ナ</t>
    </rPh>
    <rPh sb="22" eb="24">
      <t>セイギョ</t>
    </rPh>
    <rPh sb="25" eb="26">
      <t>オコナ</t>
    </rPh>
    <phoneticPr fontId="2"/>
  </si>
  <si>
    <t>定義方法</t>
    <rPh sb="0" eb="4">
      <t>テイギホウホウ</t>
    </rPh>
    <phoneticPr fontId="2"/>
  </si>
  <si>
    <t>ルート定義ファイル</t>
    <rPh sb="3" eb="5">
      <t>テイギ</t>
    </rPh>
    <phoneticPr fontId="2"/>
  </si>
  <si>
    <t>@Pathアノテーション</t>
    <phoneticPr fontId="2"/>
  </si>
  <si>
    <t>ルーティングの定義をxmlファイルで一元管理する方法。</t>
    <rPh sb="7" eb="9">
      <t>テイギ</t>
    </rPh>
    <rPh sb="18" eb="22">
      <t>イチゲンカンリ</t>
    </rPh>
    <rPh sb="24" eb="26">
      <t>ホウホウ</t>
    </rPh>
    <phoneticPr fontId="2"/>
  </si>
  <si>
    <t>アクションクラスやメソッドに@Pathアノテーションをつけて直接ルーティングの定義を</t>
    <rPh sb="30" eb="32">
      <t>チョクセツ</t>
    </rPh>
    <rPh sb="39" eb="41">
      <t>テイギ</t>
    </rPh>
    <phoneticPr fontId="2"/>
  </si>
  <si>
    <t>記述する方法。</t>
    <rPh sb="0" eb="2">
      <t>キジュツ</t>
    </rPh>
    <rPh sb="4" eb="6">
      <t>ホウホウ</t>
    </rPh>
    <phoneticPr fontId="2"/>
  </si>
  <si>
    <t>ルーティングアダプタではルーティングの定義方法として以下の2つが用意されている。</t>
    <rPh sb="19" eb="21">
      <t>テイギ</t>
    </rPh>
    <rPh sb="21" eb="23">
      <t>ホウホウ</t>
    </rPh>
    <rPh sb="26" eb="28">
      <t>イカ</t>
    </rPh>
    <rPh sb="32" eb="34">
      <t>ヨウイ</t>
    </rPh>
    <phoneticPr fontId="2"/>
  </si>
  <si>
    <t>(入力エラー、存在しないURLへのアクセス、参照権限のないアクションへのアクセスなど）</t>
    <rPh sb="1" eb="3">
      <t>ニュウリョク</t>
    </rPh>
    <rPh sb="7" eb="9">
      <t>ソンザイ</t>
    </rPh>
    <rPh sb="22" eb="24">
      <t>サンショウ</t>
    </rPh>
    <rPh sb="24" eb="26">
      <t>ケンゲン</t>
    </rPh>
    <phoneticPr fontId="2"/>
  </si>
  <si>
    <t>認証が必要なアクションのメソッドに参照権限が無い認証情報で</t>
    <rPh sb="0" eb="2">
      <t>ニンショウ</t>
    </rPh>
    <rPh sb="3" eb="5">
      <t>ヒツヨウ</t>
    </rPh>
    <rPh sb="17" eb="21">
      <t>サンショウケンゲン</t>
    </rPh>
    <rPh sb="22" eb="23">
      <t>ナ</t>
    </rPh>
    <rPh sb="24" eb="28">
      <t>ニンショウジョウホウ</t>
    </rPh>
    <phoneticPr fontId="2"/>
  </si>
  <si>
    <t>URL未存在エラー</t>
    <rPh sb="3" eb="4">
      <t>ミ</t>
    </rPh>
    <rPh sb="4" eb="6">
      <t>ソンザイ</t>
    </rPh>
    <phoneticPr fontId="2"/>
  </si>
  <si>
    <t>アクセスされたURLに対するアクションのメソッドが</t>
    <rPh sb="11" eb="12">
      <t>タイ</t>
    </rPh>
    <phoneticPr fontId="2"/>
  </si>
  <si>
    <t>存在しない場合。</t>
    <phoneticPr fontId="2"/>
  </si>
  <si>
    <t>検索結果取得などで、多数のレコードを出力するアクションについては原則ページングを行うように設計する方針とする。</t>
    <rPh sb="0" eb="2">
      <t>ケンサク</t>
    </rPh>
    <rPh sb="2" eb="4">
      <t>ケッカ</t>
    </rPh>
    <rPh sb="4" eb="6">
      <t>シュトク</t>
    </rPh>
    <rPh sb="10" eb="12">
      <t>タスウ</t>
    </rPh>
    <rPh sb="18" eb="20">
      <t>シュツリョク</t>
    </rPh>
    <rPh sb="32" eb="34">
      <t>ゲンソク</t>
    </rPh>
    <rPh sb="40" eb="41">
      <t>オコナ</t>
    </rPh>
    <rPh sb="45" eb="47">
      <t>セッケイ</t>
    </rPh>
    <rPh sb="49" eb="51">
      <t>ホウシン</t>
    </rPh>
    <phoneticPr fontId="2"/>
  </si>
  <si>
    <t>1ページあたりの出力件数については、各アクションの設計で決定するものとする。</t>
    <rPh sb="8" eb="10">
      <t>シュツリョク</t>
    </rPh>
    <rPh sb="10" eb="12">
      <t>ケンスウ</t>
    </rPh>
    <rPh sb="18" eb="19">
      <t>カク</t>
    </rPh>
    <rPh sb="25" eb="27">
      <t>セッケイ</t>
    </rPh>
    <rPh sb="28" eb="30">
      <t>ケッテイ</t>
    </rPh>
    <phoneticPr fontId="2"/>
  </si>
  <si>
    <t>認証が必要なアクションのメソッドに認証情報なしで</t>
    <rPh sb="0" eb="2">
      <t>ニンショウ</t>
    </rPh>
    <rPh sb="3" eb="5">
      <t>ヒツヨウ</t>
    </rPh>
    <rPh sb="17" eb="21">
      <t>ニンショウジョウホウ</t>
    </rPh>
    <phoneticPr fontId="2"/>
  </si>
  <si>
    <t>クライアント起因のエラーを表す</t>
    <rPh sb="6" eb="8">
      <t>キイン</t>
    </rPh>
    <rPh sb="13" eb="14">
      <t>アラワ</t>
    </rPh>
    <phoneticPr fontId="2"/>
  </si>
  <si>
    <t>サーバ起因のエラーを表す</t>
    <rPh sb="3" eb="5">
      <t>キイン</t>
    </rPh>
    <rPh sb="10" eb="11">
      <t>アラワ</t>
    </rPh>
    <phoneticPr fontId="2"/>
  </si>
  <si>
    <t>本システムのRESTにおいては複数のリクエストをまたいでデータを保持する要件はないため、セッションスコープは使用せず</t>
    <rPh sb="0" eb="1">
      <t>ホン</t>
    </rPh>
    <rPh sb="15" eb="17">
      <t>フクスウ</t>
    </rPh>
    <rPh sb="32" eb="34">
      <t>ホジ</t>
    </rPh>
    <rPh sb="36" eb="38">
      <t>ヨウケン</t>
    </rPh>
    <rPh sb="54" eb="56">
      <t>シヨウ</t>
    </rPh>
    <phoneticPr fontId="2"/>
  </si>
  <si>
    <t>1つのリクエストの間だけデータを保持するスコープ。</t>
    <rPh sb="9" eb="10">
      <t>アイダ</t>
    </rPh>
    <rPh sb="16" eb="18">
      <t>ホジ</t>
    </rPh>
    <phoneticPr fontId="2"/>
  </si>
  <si>
    <t>複数のリクエストをまたいでデータを保持するスコープ。</t>
    <rPh sb="17" eb="19">
      <t>ホジ</t>
    </rPh>
    <phoneticPr fontId="2"/>
  </si>
  <si>
    <t>本システムのRESTではクライアントやネットワーク機器に処理結果をキャッシュさせない方針とする。</t>
    <rPh sb="0" eb="1">
      <t>ホン</t>
    </rPh>
    <rPh sb="25" eb="27">
      <t>キキ</t>
    </rPh>
    <rPh sb="28" eb="32">
      <t>ショリケッカ</t>
    </rPh>
    <rPh sb="42" eb="44">
      <t>ホウシン</t>
    </rPh>
    <phoneticPr fontId="2"/>
  </si>
  <si>
    <t>本システムのRESTではCookieは使用しない方針とする。</t>
    <rPh sb="0" eb="1">
      <t>ホン</t>
    </rPh>
    <rPh sb="19" eb="21">
      <t>シヨウ</t>
    </rPh>
    <rPh sb="24" eb="26">
      <t>ホウシン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</si>
</sst>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
      <sz val="11"/>
      <name val="ＭＳ Ｐゴシック"/>
      <family val="3"/>
      <charset val="128"/>
    </font>
    <font>
      <u/>
      <sz val="11"/>
      <color theme="10"/>
      <name val="ＭＳ Ｐゴシック"/>
      <family val="2"/>
      <charset val="128"/>
      <scheme val="minor"/>
    </font>
    <font>
      <u/>
      <sz val="9"/>
      <color theme="10"/>
      <name val="ＭＳ 明朝"/>
      <family val="1"/>
      <charset val="128"/>
    </font>
    <font>
      <sz val="9"/>
      <name val="ＭＳ 明朝"/>
      <family val="1"/>
    </font>
  </fonts>
  <fills count="6">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indexed="26"/>
      </patternFill>
    </fill>
    <fill>
      <patternFill patternType="solid">
        <fgColor theme="0" tint="-0.249977111117893"/>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8">
    <xf numFmtId="0" fontId="0" fillId="0" borderId="0">
      <alignment vertical="center"/>
    </xf>
    <xf numFmtId="0" fontId="1" fillId="0" borderId="0"/>
    <xf numFmtId="0" fontId="1" fillId="0" borderId="0"/>
    <xf numFmtId="0" fontId="1" fillId="0" borderId="0"/>
    <xf numFmtId="0" fontId="7" fillId="0" borderId="0"/>
    <xf numFmtId="0" fontId="7" fillId="4" borderId="16" applyNumberFormat="0" applyFont="0" applyAlignment="0" applyProtection="0">
      <alignment vertical="center"/>
    </xf>
    <xf numFmtId="0" fontId="1" fillId="0" borderId="0"/>
    <xf numFmtId="0" fontId="8" fillId="0" borderId="0" applyNumberFormat="0" applyFill="0" applyBorder="0" applyAlignment="0" applyProtection="0">
      <alignment vertical="center"/>
    </xf>
  </cellStyleXfs>
  <cellXfs count="94">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1" fillId="0" borderId="0" xfId="0" applyFont="1">
      <alignment vertical="center"/>
    </xf>
    <xf numFmtId="0" fontId="4" fillId="0" borderId="0" xfId="0" applyFont="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4" xfId="0" applyFont="1" applyBorder="1">
      <alignment vertical="center"/>
    </xf>
    <xf numFmtId="0" fontId="1" fillId="3" borderId="3" xfId="0" applyFont="1" applyFill="1" applyBorder="1">
      <alignment vertical="center"/>
    </xf>
    <xf numFmtId="0" fontId="1" fillId="3" borderId="2" xfId="0" applyFont="1" applyFill="1" applyBorder="1">
      <alignment vertical="center"/>
    </xf>
    <xf numFmtId="0" fontId="1" fillId="0" borderId="5" xfId="0" applyFont="1" applyBorder="1">
      <alignment vertical="center"/>
    </xf>
    <xf numFmtId="0" fontId="1" fillId="0" borderId="6" xfId="0" applyFont="1" applyBorder="1">
      <alignment vertical="center"/>
    </xf>
    <xf numFmtId="0" fontId="4" fillId="0" borderId="0" xfId="0" quotePrefix="1" applyFont="1" applyAlignment="1">
      <alignment horizontal="righ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3" borderId="1"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9" fillId="0" borderId="0" xfId="7" applyFont="1">
      <alignment vertical="center"/>
    </xf>
    <xf numFmtId="0" fontId="1" fillId="3" borderId="9" xfId="0" applyFont="1" applyFill="1" applyBorder="1">
      <alignment vertical="center"/>
    </xf>
    <xf numFmtId="0" fontId="1" fillId="0" borderId="15" xfId="0" quotePrefix="1" applyFont="1" applyBorder="1">
      <alignment vertical="center"/>
    </xf>
    <xf numFmtId="0" fontId="1" fillId="0" borderId="13" xfId="0" applyFont="1" applyBorder="1">
      <alignment vertical="center"/>
    </xf>
    <xf numFmtId="0" fontId="6" fillId="0" borderId="0" xfId="0" applyFont="1">
      <alignment vertical="center"/>
    </xf>
    <xf numFmtId="0" fontId="1" fillId="0" borderId="14" xfId="0" quotePrefix="1" applyFont="1" applyBorder="1">
      <alignment vertical="center"/>
    </xf>
    <xf numFmtId="0" fontId="4" fillId="0" borderId="1" xfId="0" applyFont="1" applyBorder="1">
      <alignment vertical="center"/>
    </xf>
    <xf numFmtId="0" fontId="1" fillId="3" borderId="4" xfId="0" applyFont="1" applyFill="1" applyBorder="1">
      <alignment vertical="center"/>
    </xf>
    <xf numFmtId="0" fontId="1" fillId="3" borderId="5" xfId="0" applyFont="1" applyFill="1" applyBorder="1">
      <alignment vertical="center"/>
    </xf>
    <xf numFmtId="0" fontId="1" fillId="3" borderId="6" xfId="0" applyFont="1" applyFill="1" applyBorder="1">
      <alignment vertical="center"/>
    </xf>
    <xf numFmtId="0" fontId="1" fillId="3" borderId="10" xfId="0" applyFont="1" applyFill="1" applyBorder="1">
      <alignment vertical="center"/>
    </xf>
    <xf numFmtId="0" fontId="1" fillId="3" borderId="11" xfId="0" applyFont="1" applyFill="1" applyBorder="1">
      <alignment vertical="center"/>
    </xf>
    <xf numFmtId="0" fontId="1" fillId="3" borderId="12" xfId="0" applyFont="1" applyFill="1" applyBorder="1">
      <alignment vertical="center"/>
    </xf>
    <xf numFmtId="0" fontId="4" fillId="3" borderId="12" xfId="0" applyFont="1" applyFill="1" applyBorder="1">
      <alignment vertical="center"/>
    </xf>
    <xf numFmtId="0" fontId="4" fillId="0" borderId="11" xfId="0" applyFont="1" applyBorder="1">
      <alignment vertical="center"/>
    </xf>
    <xf numFmtId="0" fontId="4" fillId="0" borderId="12" xfId="0" applyFont="1" applyBorder="1">
      <alignment vertical="center"/>
    </xf>
    <xf numFmtId="0" fontId="4" fillId="0" borderId="10"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4" xfId="0" applyFont="1" applyBorder="1">
      <alignment vertical="center"/>
    </xf>
    <xf numFmtId="0" fontId="4" fillId="0" borderId="8" xfId="0" applyFont="1" applyBorder="1">
      <alignment vertical="center"/>
    </xf>
    <xf numFmtId="0" fontId="4" fillId="0" borderId="7" xfId="0" applyFont="1" applyBorder="1">
      <alignment vertical="center"/>
    </xf>
    <xf numFmtId="0" fontId="1" fillId="5" borderId="7" xfId="0" applyFont="1" applyFill="1" applyBorder="1">
      <alignment vertical="center"/>
    </xf>
    <xf numFmtId="0" fontId="1" fillId="5" borderId="0" xfId="0" applyFont="1" applyFill="1">
      <alignment vertical="center"/>
    </xf>
    <xf numFmtId="0" fontId="1" fillId="5" borderId="8" xfId="0" applyFont="1" applyFill="1" applyBorder="1">
      <alignment vertical="center"/>
    </xf>
    <xf numFmtId="0" fontId="4" fillId="5" borderId="0" xfId="0" applyFont="1" applyFill="1">
      <alignment vertical="center"/>
    </xf>
    <xf numFmtId="0" fontId="4" fillId="5" borderId="8" xfId="0" applyFont="1" applyFill="1" applyBorder="1">
      <alignment vertical="center"/>
    </xf>
    <xf numFmtId="0" fontId="4" fillId="5" borderId="7" xfId="0" applyFont="1" applyFill="1" applyBorder="1">
      <alignment vertical="center"/>
    </xf>
    <xf numFmtId="0" fontId="10" fillId="0" borderId="4" xfId="0" applyFont="1" applyBorder="1">
      <alignment vertical="center"/>
    </xf>
    <xf numFmtId="0" fontId="10" fillId="0" borderId="10" xfId="0" applyFont="1" applyBorder="1">
      <alignment vertical="center"/>
    </xf>
    <xf numFmtId="0" fontId="4" fillId="0" borderId="0" xfId="0" applyFont="1" applyAlignment="1">
      <alignment horizontal="right" vertical="center"/>
    </xf>
    <xf numFmtId="0" fontId="1" fillId="0" borderId="0" xfId="0" applyFont="1" applyAlignment="1">
      <alignment horizontal="right" vertical="center"/>
    </xf>
    <xf numFmtId="0" fontId="1" fillId="0" borderId="0" xfId="0" quotePrefix="1" applyFont="1" applyAlignment="1">
      <alignment horizontal="right" vertical="center"/>
    </xf>
    <xf numFmtId="0" fontId="4" fillId="0" borderId="1" xfId="0" quotePrefix="1" applyFont="1" applyBorder="1">
      <alignment vertical="center"/>
    </xf>
    <xf numFmtId="0" fontId="4" fillId="0" borderId="4" xfId="0" quotePrefix="1" applyFont="1" applyBorder="1">
      <alignment vertical="center"/>
    </xf>
    <xf numFmtId="0" fontId="1" fillId="0" borderId="0" xfId="0" applyFont="1" applyBorder="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8">
    <cellStyle name="ハイパーリンク" xfId="7" builtinId="8"/>
    <cellStyle name="メモ 2" xfId="5" xr:uid="{00000000-0005-0000-0000-000000000000}"/>
    <cellStyle name="標準" xfId="0" builtinId="0"/>
    <cellStyle name="標準 2" xfId="4" xr:uid="{00000000-0005-0000-0000-000002000000}"/>
    <cellStyle name="標準 3 2 3" xfId="3" xr:uid="{00000000-0005-0000-0000-000003000000}"/>
    <cellStyle name="標準 3 5 3" xfId="6" xr:uid="{00000000-0005-0000-0000-000004000000}"/>
    <cellStyle name="標準_画面標準" xfId="1" xr:uid="{00000000-0005-0000-0000-000005000000}"/>
    <cellStyle name="標準_画面標準定義" xfId="2" xr:uid="{00000000-0005-0000-0000-000006000000}"/>
  </cellStyles>
  <dxfs count="0"/>
  <tableStyles count="0" defaultTableStyle="TableStyleMedium2" defaultPivotStyle="PivotStyleLight16"/>
  <colors>
    <mruColors>
      <color rgb="FF0000FF"/>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95250</xdr:colOff>
      <xdr:row>31</xdr:row>
      <xdr:rowOff>28575</xdr:rowOff>
    </xdr:from>
    <xdr:to>
      <xdr:col>24</xdr:col>
      <xdr:colOff>89864</xdr:colOff>
      <xdr:row>35</xdr:row>
      <xdr:rowOff>90280</xdr:rowOff>
    </xdr:to>
    <xdr:grpSp>
      <xdr:nvGrpSpPr>
        <xdr:cNvPr id="2" name="グループ化 1">
          <a:extLst>
            <a:ext uri="{FF2B5EF4-FFF2-40B4-BE49-F238E27FC236}">
              <a16:creationId xmlns:a16="http://schemas.microsoft.com/office/drawing/2014/main" id="{A5B5874B-FAC3-47A5-9594-2DEA120250E9}"/>
            </a:ext>
          </a:extLst>
        </xdr:cNvPr>
        <xdr:cNvGrpSpPr/>
      </xdr:nvGrpSpPr>
      <xdr:grpSpPr>
        <a:xfrm>
          <a:off x="1476375" y="5257800"/>
          <a:ext cx="5242889" cy="785605"/>
          <a:chOff x="1362075" y="5760869"/>
          <a:chExt cx="7810499" cy="820906"/>
        </a:xfrm>
      </xdr:grpSpPr>
      <xdr:sp macro="" textlink="">
        <xdr:nvSpPr>
          <xdr:cNvPr id="3" name="正方形/長方形 2">
            <a:extLst>
              <a:ext uri="{FF2B5EF4-FFF2-40B4-BE49-F238E27FC236}">
                <a16:creationId xmlns:a16="http://schemas.microsoft.com/office/drawing/2014/main" id="{535EFB57-64F7-049D-2172-155F2D094151}"/>
              </a:ext>
            </a:extLst>
          </xdr:cNvPr>
          <xdr:cNvSpPr/>
        </xdr:nvSpPr>
        <xdr:spPr>
          <a:xfrm>
            <a:off x="1362075" y="5760869"/>
            <a:ext cx="7810499"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プロトコル</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 &lt;</a:t>
            </a:r>
            <a:r>
              <a:rPr kumimoji="1" lang="ja-JP" altLang="en-US" sz="1050">
                <a:latin typeface="Meiryo UI" panose="020B0604030504040204" pitchFamily="50" charset="-128"/>
                <a:ea typeface="Meiryo UI" panose="020B0604030504040204" pitchFamily="50" charset="-128"/>
              </a:rPr>
              <a:t>ドメイン名</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パス</a:t>
            </a:r>
            <a:r>
              <a:rPr kumimoji="1" lang="en-US" altLang="ja-JP" sz="1050">
                <a:latin typeface="Meiryo UI" panose="020B0604030504040204" pitchFamily="50" charset="-128"/>
                <a:ea typeface="Meiryo UI" panose="020B0604030504040204" pitchFamily="50" charset="-128"/>
              </a:rPr>
              <a:t>&gt; &lt;?</a:t>
            </a:r>
            <a:r>
              <a:rPr kumimoji="1" lang="ja-JP" altLang="en-US" sz="1050">
                <a:latin typeface="Meiryo UI" panose="020B0604030504040204" pitchFamily="50" charset="-128"/>
                <a:ea typeface="Meiryo UI" panose="020B0604030504040204" pitchFamily="50" charset="-128"/>
              </a:rPr>
              <a:t>クエリストリング</a:t>
            </a:r>
            <a:r>
              <a:rPr kumimoji="1" lang="en-US" altLang="ja-JP" sz="1050">
                <a:latin typeface="Meiryo UI" panose="020B0604030504040204" pitchFamily="50" charset="-128"/>
                <a:ea typeface="Meiryo UI" panose="020B0604030504040204" pitchFamily="50" charset="-128"/>
              </a:rPr>
              <a:t>&gt;</a:t>
            </a:r>
          </a:p>
          <a:p>
            <a:pPr algn="ctr"/>
            <a:endParaRPr kumimoji="1" lang="ja-JP" altLang="en-US" sz="1050">
              <a:latin typeface="Meiryo UI" panose="020B0604030504040204" pitchFamily="50" charset="-128"/>
              <a:ea typeface="Meiryo UI" panose="020B0604030504040204" pitchFamily="50" charset="-128"/>
            </a:endParaRPr>
          </a:p>
        </xdr:txBody>
      </xdr:sp>
      <xdr:cxnSp macro="">
        <xdr:nvCxnSpPr>
          <xdr:cNvPr id="4" name="直線コネクタ 3">
            <a:extLst>
              <a:ext uri="{FF2B5EF4-FFF2-40B4-BE49-F238E27FC236}">
                <a16:creationId xmlns:a16="http://schemas.microsoft.com/office/drawing/2014/main" id="{8D8DBC99-C3FC-3DE5-BF4F-5D5219AA9078}"/>
              </a:ext>
            </a:extLst>
          </xdr:cNvPr>
          <xdr:cNvCxnSpPr/>
        </xdr:nvCxnSpPr>
        <xdr:spPr>
          <a:xfrm flipV="1">
            <a:off x="5522485" y="6295861"/>
            <a:ext cx="2245523" cy="919"/>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5" name="テキスト ボックス 4">
            <a:extLst>
              <a:ext uri="{FF2B5EF4-FFF2-40B4-BE49-F238E27FC236}">
                <a16:creationId xmlns:a16="http://schemas.microsoft.com/office/drawing/2014/main" id="{36974ECD-A47D-7CE7-E3D1-40D328EAE623}"/>
              </a:ext>
            </a:extLst>
          </xdr:cNvPr>
          <xdr:cNvSpPr txBox="1"/>
        </xdr:nvSpPr>
        <xdr:spPr>
          <a:xfrm>
            <a:off x="5110314" y="6343650"/>
            <a:ext cx="32434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アプリケーションで制御する範囲</a:t>
            </a:r>
          </a:p>
        </xdr:txBody>
      </xdr:sp>
    </xdr:grpSp>
    <xdr:clientData/>
  </xdr:twoCellAnchor>
  <xdr:twoCellAnchor>
    <xdr:from>
      <xdr:col>5</xdr:col>
      <xdr:colOff>95250</xdr:colOff>
      <xdr:row>40</xdr:row>
      <xdr:rowOff>0</xdr:rowOff>
    </xdr:from>
    <xdr:to>
      <xdr:col>30</xdr:col>
      <xdr:colOff>76200</xdr:colOff>
      <xdr:row>45</xdr:row>
      <xdr:rowOff>71230</xdr:rowOff>
    </xdr:to>
    <xdr:grpSp>
      <xdr:nvGrpSpPr>
        <xdr:cNvPr id="19" name="グループ化 18">
          <a:extLst>
            <a:ext uri="{FF2B5EF4-FFF2-40B4-BE49-F238E27FC236}">
              <a16:creationId xmlns:a16="http://schemas.microsoft.com/office/drawing/2014/main" id="{9C0CCD9B-6725-F408-AD2B-9E1A8CB25548}"/>
            </a:ext>
          </a:extLst>
        </xdr:cNvPr>
        <xdr:cNvGrpSpPr/>
      </xdr:nvGrpSpPr>
      <xdr:grpSpPr>
        <a:xfrm>
          <a:off x="1476375" y="6781800"/>
          <a:ext cx="6886575" cy="785605"/>
          <a:chOff x="1362075" y="5760869"/>
          <a:chExt cx="10259150" cy="820906"/>
        </a:xfrm>
      </xdr:grpSpPr>
      <xdr:sp macro="" textlink="">
        <xdr:nvSpPr>
          <xdr:cNvPr id="20" name="正方形/長方形 19">
            <a:extLst>
              <a:ext uri="{FF2B5EF4-FFF2-40B4-BE49-F238E27FC236}">
                <a16:creationId xmlns:a16="http://schemas.microsoft.com/office/drawing/2014/main" id="{1DDB3246-076C-A723-B737-BC6C2F72DD87}"/>
              </a:ext>
            </a:extLst>
          </xdr:cNvPr>
          <xdr:cNvSpPr/>
        </xdr:nvSpPr>
        <xdr:spPr>
          <a:xfrm>
            <a:off x="1362075" y="5760869"/>
            <a:ext cx="10259150"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a:latin typeface="Meiryo UI" panose="020B0604030504040204" pitchFamily="50" charset="-128"/>
                <a:ea typeface="Meiryo UI" panose="020B0604030504040204" pitchFamily="50" charset="-128"/>
              </a:rPr>
              <a:t>/ &lt;</a:t>
            </a:r>
            <a:r>
              <a:rPr kumimoji="1" lang="ja-JP" altLang="en-US" sz="1050">
                <a:latin typeface="Meiryo UI" panose="020B0604030504040204" pitchFamily="50" charset="-128"/>
                <a:ea typeface="Meiryo UI" panose="020B0604030504040204" pitchFamily="50" charset="-128"/>
              </a:rPr>
              <a:t>コンテキストパス</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機能種別を表す</a:t>
            </a:r>
            <a:r>
              <a:rPr kumimoji="1" lang="en-US" altLang="ja-JP" sz="1050">
                <a:latin typeface="Meiryo UI" panose="020B0604030504040204" pitchFamily="50" charset="-128"/>
                <a:ea typeface="Meiryo UI" panose="020B0604030504040204" pitchFamily="50" charset="-128"/>
              </a:rPr>
              <a:t>ID&gt; / &lt;</a:t>
            </a:r>
            <a:r>
              <a:rPr kumimoji="1" lang="ja-JP" altLang="en-US" sz="1050">
                <a:latin typeface="Meiryo UI" panose="020B0604030504040204" pitchFamily="50" charset="-128"/>
                <a:ea typeface="Meiryo UI" panose="020B0604030504040204" pitchFamily="50" charset="-128"/>
              </a:rPr>
              <a:t>サブシステム名</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アクション名</a:t>
            </a:r>
            <a:r>
              <a:rPr kumimoji="1" lang="en-US" altLang="ja-JP" sz="1050">
                <a:latin typeface="Meiryo UI" panose="020B0604030504040204" pitchFamily="50" charset="-128"/>
                <a:ea typeface="Meiryo UI" panose="020B0604030504040204" pitchFamily="50" charset="-128"/>
              </a:rPr>
              <a:t>&gt; / &lt;</a:t>
            </a:r>
            <a:r>
              <a:rPr kumimoji="1" lang="ja-JP" altLang="en-US" sz="1050">
                <a:latin typeface="Meiryo UI" panose="020B0604030504040204" pitchFamily="50" charset="-128"/>
                <a:ea typeface="Meiryo UI" panose="020B0604030504040204" pitchFamily="50" charset="-128"/>
              </a:rPr>
              <a:t>メソッド名</a:t>
            </a:r>
            <a:r>
              <a:rPr kumimoji="1" lang="en-US" altLang="ja-JP" sz="1050">
                <a:latin typeface="Meiryo UI" panose="020B0604030504040204" pitchFamily="50" charset="-128"/>
                <a:ea typeface="Meiryo UI" panose="020B0604030504040204" pitchFamily="50" charset="-128"/>
              </a:rPr>
              <a:t>&gt;</a:t>
            </a:r>
            <a:endParaRPr kumimoji="1" lang="ja-JP" altLang="en-US" sz="1050">
              <a:latin typeface="Meiryo UI" panose="020B0604030504040204" pitchFamily="50" charset="-128"/>
              <a:ea typeface="Meiryo UI" panose="020B0604030504040204" pitchFamily="50" charset="-128"/>
            </a:endParaRPr>
          </a:p>
        </xdr:txBody>
      </xdr:sp>
      <xdr:cxnSp macro="">
        <xdr:nvCxnSpPr>
          <xdr:cNvPr id="22" name="直線コネクタ 21">
            <a:extLst>
              <a:ext uri="{FF2B5EF4-FFF2-40B4-BE49-F238E27FC236}">
                <a16:creationId xmlns:a16="http://schemas.microsoft.com/office/drawing/2014/main" id="{57311CFB-06A9-B1D2-3FD0-CE3DFA04B6AD}"/>
              </a:ext>
            </a:extLst>
          </xdr:cNvPr>
          <xdr:cNvCxnSpPr/>
        </xdr:nvCxnSpPr>
        <xdr:spPr>
          <a:xfrm>
            <a:off x="2457511" y="6316685"/>
            <a:ext cx="1572227"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4" name="テキスト ボックス 23">
            <a:extLst>
              <a:ext uri="{FF2B5EF4-FFF2-40B4-BE49-F238E27FC236}">
                <a16:creationId xmlns:a16="http://schemas.microsoft.com/office/drawing/2014/main" id="{1E153378-8439-220D-A768-95F69720F28B}"/>
              </a:ext>
            </a:extLst>
          </xdr:cNvPr>
          <xdr:cNvSpPr txBox="1"/>
        </xdr:nvSpPr>
        <xdr:spPr>
          <a:xfrm>
            <a:off x="2939291"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(1)</a:t>
            </a:r>
            <a:endParaRPr kumimoji="1" lang="ja-JP" altLang="en-US" sz="1100"/>
          </a:p>
        </xdr:txBody>
      </xdr:sp>
      <xdr:cxnSp macro="">
        <xdr:nvCxnSpPr>
          <xdr:cNvPr id="30" name="直線コネクタ 29">
            <a:extLst>
              <a:ext uri="{FF2B5EF4-FFF2-40B4-BE49-F238E27FC236}">
                <a16:creationId xmlns:a16="http://schemas.microsoft.com/office/drawing/2014/main" id="{10DC8139-61E9-4C89-D4B9-D45878646DD1}"/>
              </a:ext>
            </a:extLst>
          </xdr:cNvPr>
          <xdr:cNvCxnSpPr/>
        </xdr:nvCxnSpPr>
        <xdr:spPr>
          <a:xfrm>
            <a:off x="4302171" y="6316685"/>
            <a:ext cx="1813452"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2" name="直線コネクタ 31">
            <a:extLst>
              <a:ext uri="{FF2B5EF4-FFF2-40B4-BE49-F238E27FC236}">
                <a16:creationId xmlns:a16="http://schemas.microsoft.com/office/drawing/2014/main" id="{CFA46AD2-1348-386F-C83A-4E1441F1A6D4}"/>
              </a:ext>
            </a:extLst>
          </xdr:cNvPr>
          <xdr:cNvCxnSpPr/>
        </xdr:nvCxnSpPr>
        <xdr:spPr>
          <a:xfrm>
            <a:off x="6373867" y="6316685"/>
            <a:ext cx="1444520"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4" name="直線コネクタ 33">
            <a:extLst>
              <a:ext uri="{FF2B5EF4-FFF2-40B4-BE49-F238E27FC236}">
                <a16:creationId xmlns:a16="http://schemas.microsoft.com/office/drawing/2014/main" id="{F471C3AB-3185-D29C-FC6E-860A14BA09EE}"/>
              </a:ext>
            </a:extLst>
          </xdr:cNvPr>
          <xdr:cNvCxnSpPr/>
        </xdr:nvCxnSpPr>
        <xdr:spPr>
          <a:xfrm>
            <a:off x="8076630" y="6316685"/>
            <a:ext cx="1203295"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37" name="直線コネクタ 36">
            <a:extLst>
              <a:ext uri="{FF2B5EF4-FFF2-40B4-BE49-F238E27FC236}">
                <a16:creationId xmlns:a16="http://schemas.microsoft.com/office/drawing/2014/main" id="{5085EA1E-97BD-DF70-5D8A-2B094FB0E606}"/>
              </a:ext>
            </a:extLst>
          </xdr:cNvPr>
          <xdr:cNvCxnSpPr/>
        </xdr:nvCxnSpPr>
        <xdr:spPr>
          <a:xfrm>
            <a:off x="9509789" y="6316685"/>
            <a:ext cx="1033019" cy="0"/>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39" name="テキスト ボックス 38">
            <a:extLst>
              <a:ext uri="{FF2B5EF4-FFF2-40B4-BE49-F238E27FC236}">
                <a16:creationId xmlns:a16="http://schemas.microsoft.com/office/drawing/2014/main" id="{99BB3AC2-4BFB-ECE2-9F5C-44DB39DE5F01}"/>
              </a:ext>
            </a:extLst>
          </xdr:cNvPr>
          <xdr:cNvSpPr txBox="1"/>
        </xdr:nvSpPr>
        <xdr:spPr>
          <a:xfrm>
            <a:off x="4883280"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(2)</a:t>
            </a:r>
            <a:endParaRPr kumimoji="1" lang="ja-JP" altLang="en-US" sz="1100"/>
          </a:p>
        </xdr:txBody>
      </xdr:sp>
      <xdr:sp macro="" textlink="">
        <xdr:nvSpPr>
          <xdr:cNvPr id="40" name="テキスト ボックス 39">
            <a:extLst>
              <a:ext uri="{FF2B5EF4-FFF2-40B4-BE49-F238E27FC236}">
                <a16:creationId xmlns:a16="http://schemas.microsoft.com/office/drawing/2014/main" id="{E1A78A04-CEAD-38B4-66DB-48FCBF8A731D}"/>
              </a:ext>
            </a:extLst>
          </xdr:cNvPr>
          <xdr:cNvSpPr txBox="1"/>
        </xdr:nvSpPr>
        <xdr:spPr>
          <a:xfrm>
            <a:off x="6784699"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(3)</a:t>
            </a:r>
            <a:endParaRPr kumimoji="1" lang="ja-JP" altLang="en-US" sz="1100"/>
          </a:p>
        </xdr:txBody>
      </xdr:sp>
      <xdr:sp macro="" textlink="">
        <xdr:nvSpPr>
          <xdr:cNvPr id="41" name="テキスト ボックス 40">
            <a:extLst>
              <a:ext uri="{FF2B5EF4-FFF2-40B4-BE49-F238E27FC236}">
                <a16:creationId xmlns:a16="http://schemas.microsoft.com/office/drawing/2014/main" id="{8CA1EE9F-D914-8833-B24F-72817366BFB7}"/>
              </a:ext>
            </a:extLst>
          </xdr:cNvPr>
          <xdr:cNvSpPr txBox="1"/>
        </xdr:nvSpPr>
        <xdr:spPr>
          <a:xfrm>
            <a:off x="8416514"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(4)</a:t>
            </a:r>
            <a:endParaRPr kumimoji="1" lang="ja-JP" altLang="en-US" sz="1100"/>
          </a:p>
        </xdr:txBody>
      </xdr:sp>
      <xdr:sp macro="" textlink="">
        <xdr:nvSpPr>
          <xdr:cNvPr id="42" name="テキスト ボックス 41">
            <a:extLst>
              <a:ext uri="{FF2B5EF4-FFF2-40B4-BE49-F238E27FC236}">
                <a16:creationId xmlns:a16="http://schemas.microsoft.com/office/drawing/2014/main" id="{C7106B0E-810C-275B-419F-0B25FBE509B4}"/>
              </a:ext>
            </a:extLst>
          </xdr:cNvPr>
          <xdr:cNvSpPr txBox="1"/>
        </xdr:nvSpPr>
        <xdr:spPr>
          <a:xfrm>
            <a:off x="9736156" y="6333697"/>
            <a:ext cx="664757" cy="22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(5)</a:t>
            </a:r>
            <a:endParaRPr kumimoji="1" lang="ja-JP" altLang="en-US" sz="1100"/>
          </a:p>
        </xdr:txBody>
      </xdr:sp>
    </xdr:grpSp>
    <xdr:clientData/>
  </xdr:twoCellAnchor>
  <xdr:twoCellAnchor editAs="oneCell">
    <xdr:from>
      <xdr:col>5</xdr:col>
      <xdr:colOff>0</xdr:colOff>
      <xdr:row>40</xdr:row>
      <xdr:rowOff>0</xdr:rowOff>
    </xdr:from>
    <xdr:to>
      <xdr:col>34</xdr:col>
      <xdr:colOff>219075</xdr:colOff>
      <xdr:row>46</xdr:row>
      <xdr:rowOff>0</xdr:rowOff>
    </xdr:to>
    <xdr:sp macro="" textlink="">
      <xdr:nvSpPr>
        <xdr:cNvPr id="1026" name="AutoShape 2">
          <a:extLst>
            <a:ext uri="{FF2B5EF4-FFF2-40B4-BE49-F238E27FC236}">
              <a16:creationId xmlns:a16="http://schemas.microsoft.com/office/drawing/2014/main" id="{FB3222ED-AAB2-C410-4831-B59380615C9C}"/>
            </a:ext>
          </a:extLst>
        </xdr:cNvPr>
        <xdr:cNvSpPr>
          <a:spLocks noChangeAspect="1" noChangeArrowheads="1"/>
        </xdr:cNvSpPr>
      </xdr:nvSpPr>
      <xdr:spPr bwMode="auto">
        <a:xfrm>
          <a:off x="1381125" y="6238875"/>
          <a:ext cx="8229600" cy="857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2700">
          <a:solidFill>
            <a:srgbClr val="0000FF"/>
          </a:solidFill>
          <a:round/>
          <a:headEnd/>
          <a:tailEnd type="triangle" w="med" len="med"/>
        </a:ln>
        <a:effectLst/>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daptors/router_adap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E204"/>
  <sheetViews>
    <sheetView showGridLines="0" tabSelected="1" view="pageBreakPreview" zoomScaleNormal="100" zoomScaleSheetLayoutView="100" workbookViewId="0"/>
  </sheetViews>
  <sheetFormatPr defaultColWidth="3.625" defaultRowHeight="14.25" customHeight="1" x14ac:dyDescent="0.15"/>
  <cols>
    <col min="1" max="16384" width="3.625" style="15"/>
  </cols>
  <sheetData>
    <row r="1" spans="1:35" ht="14.25" customHeight="1" x14ac:dyDescent="0.15">
      <c r="A1" s="1" t="s">
        <v>0</v>
      </c>
      <c r="B1" s="2"/>
      <c r="C1" s="2"/>
      <c r="D1" s="3"/>
      <c r="E1" s="78" t="s">
        <v>1</v>
      </c>
      <c r="F1" s="79"/>
      <c r="G1" s="79"/>
      <c r="H1" s="79"/>
      <c r="I1" s="79"/>
      <c r="J1" s="79"/>
      <c r="K1" s="79"/>
      <c r="L1" s="79"/>
      <c r="M1" s="79"/>
      <c r="N1" s="79"/>
      <c r="O1" s="80"/>
      <c r="P1" s="1" t="s">
        <v>2</v>
      </c>
      <c r="Q1" s="2"/>
      <c r="R1" s="81" t="s">
        <v>3</v>
      </c>
      <c r="S1" s="82"/>
      <c r="T1" s="82"/>
      <c r="U1" s="82"/>
      <c r="V1" s="82"/>
      <c r="W1" s="82"/>
      <c r="X1" s="83"/>
      <c r="Y1" s="1" t="s">
        <v>4</v>
      </c>
      <c r="Z1" s="3"/>
      <c r="AA1" s="84"/>
      <c r="AB1" s="85"/>
      <c r="AC1" s="85"/>
      <c r="AD1" s="85"/>
      <c r="AE1" s="86"/>
      <c r="AF1" s="75"/>
      <c r="AG1" s="76"/>
      <c r="AH1" s="76"/>
      <c r="AI1" s="77"/>
    </row>
    <row r="2" spans="1:35" ht="14.25" customHeight="1" x14ac:dyDescent="0.15">
      <c r="A2" s="4" t="s">
        <v>5</v>
      </c>
      <c r="B2" s="5"/>
      <c r="C2" s="5"/>
      <c r="D2" s="6"/>
      <c r="E2" s="78"/>
      <c r="F2" s="79"/>
      <c r="G2" s="79"/>
      <c r="H2" s="79"/>
      <c r="I2" s="79"/>
      <c r="J2" s="79"/>
      <c r="K2" s="79"/>
      <c r="L2" s="79"/>
      <c r="M2" s="79"/>
      <c r="N2" s="79"/>
      <c r="O2" s="80"/>
      <c r="P2" s="7" t="s">
        <v>6</v>
      </c>
      <c r="Q2" s="8"/>
      <c r="R2" s="87" t="s">
        <v>7</v>
      </c>
      <c r="S2" s="88"/>
      <c r="T2" s="88"/>
      <c r="U2" s="88"/>
      <c r="V2" s="88"/>
      <c r="W2" s="88"/>
      <c r="X2" s="89"/>
      <c r="Y2" s="1" t="s">
        <v>8</v>
      </c>
      <c r="Z2" s="3"/>
      <c r="AA2" s="84"/>
      <c r="AB2" s="85"/>
      <c r="AC2" s="85"/>
      <c r="AD2" s="85"/>
      <c r="AE2" s="86"/>
      <c r="AF2" s="75"/>
      <c r="AG2" s="76"/>
      <c r="AH2" s="76"/>
      <c r="AI2" s="77"/>
    </row>
    <row r="3" spans="1:35" ht="14.25" customHeight="1" x14ac:dyDescent="0.15">
      <c r="A3" s="1" t="s">
        <v>9</v>
      </c>
      <c r="B3" s="9"/>
      <c r="C3" s="10"/>
      <c r="D3" s="3"/>
      <c r="E3" s="93"/>
      <c r="F3" s="93"/>
      <c r="G3" s="93"/>
      <c r="H3" s="93"/>
      <c r="I3" s="93"/>
      <c r="J3" s="93"/>
      <c r="K3" s="93"/>
      <c r="L3" s="93"/>
      <c r="M3" s="93"/>
      <c r="N3" s="93"/>
      <c r="O3" s="93"/>
      <c r="P3" s="11"/>
      <c r="Q3" s="12"/>
      <c r="R3" s="90"/>
      <c r="S3" s="91"/>
      <c r="T3" s="91"/>
      <c r="U3" s="91"/>
      <c r="V3" s="91"/>
      <c r="W3" s="91"/>
      <c r="X3" s="92"/>
      <c r="Y3" s="11" t="s">
        <v>10</v>
      </c>
      <c r="Z3" s="13"/>
      <c r="AA3" s="84"/>
      <c r="AB3" s="85"/>
      <c r="AC3" s="85"/>
      <c r="AD3" s="85"/>
      <c r="AE3" s="86"/>
      <c r="AF3" s="75"/>
      <c r="AG3" s="76"/>
      <c r="AH3" s="76"/>
      <c r="AI3" s="77"/>
    </row>
    <row r="4" spans="1:35" ht="11.25" customHeight="1" x14ac:dyDescent="0.15"/>
    <row r="5" spans="1:35" ht="11.25" customHeight="1" x14ac:dyDescent="0.15">
      <c r="B5" s="26" t="s">
        <v>11</v>
      </c>
      <c r="C5" s="15" t="s">
        <v>12</v>
      </c>
    </row>
    <row r="6" spans="1:35" ht="11.25" customHeight="1" x14ac:dyDescent="0.15"/>
    <row r="7" spans="1:35" ht="11.25" customHeight="1" x14ac:dyDescent="0.15">
      <c r="C7" s="26" t="str">
        <f>$B$5&amp;"2."</f>
        <v>5.2.</v>
      </c>
      <c r="D7" s="15" t="s">
        <v>13</v>
      </c>
    </row>
    <row r="8" spans="1:35" ht="11.25" customHeight="1" x14ac:dyDescent="0.15"/>
    <row r="9" spans="1:35" ht="11.25" customHeight="1" x14ac:dyDescent="0.15">
      <c r="D9" s="26" t="str">
        <f>$C$7&amp;"1."</f>
        <v>5.2.1.</v>
      </c>
      <c r="E9" s="15" t="s">
        <v>14</v>
      </c>
    </row>
    <row r="10" spans="1:35" ht="11.25" customHeight="1" x14ac:dyDescent="0.15">
      <c r="D10" s="26"/>
      <c r="E10" s="15" t="s">
        <v>15</v>
      </c>
    </row>
    <row r="11" spans="1:35" ht="11.25" customHeight="1" x14ac:dyDescent="0.15">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row>
    <row r="12" spans="1:35" ht="11.25" customHeight="1" x14ac:dyDescent="0.15">
      <c r="D12" s="26" t="str">
        <f>$C$7&amp;"2."</f>
        <v>5.2.2.</v>
      </c>
      <c r="E12" s="15" t="s">
        <v>16</v>
      </c>
    </row>
    <row r="13" spans="1:35" ht="11.25" customHeight="1" x14ac:dyDescent="0.15">
      <c r="D13" s="26"/>
    </row>
    <row r="14" spans="1:35" ht="14.25" customHeight="1" x14ac:dyDescent="0.15">
      <c r="E14" s="26" t="str">
        <f>$D$12&amp;"1."</f>
        <v>5.2.2.1.</v>
      </c>
      <c r="F14" s="15" t="s">
        <v>17</v>
      </c>
    </row>
    <row r="15" spans="1:35" ht="14.25" customHeight="1" x14ac:dyDescent="0.15">
      <c r="F15" s="15" t="s">
        <v>18</v>
      </c>
    </row>
    <row r="16" spans="1:35" ht="14.25" customHeight="1" x14ac:dyDescent="0.15">
      <c r="F16" s="15" t="s">
        <v>19</v>
      </c>
    </row>
    <row r="18" spans="6:28" ht="14.25" customHeight="1" x14ac:dyDescent="0.15">
      <c r="F18" s="39" t="s">
        <v>20</v>
      </c>
    </row>
    <row r="20" spans="6:28" ht="14.25" customHeight="1" x14ac:dyDescent="0.15">
      <c r="F20" s="15" t="s">
        <v>192</v>
      </c>
    </row>
    <row r="22" spans="6:28" ht="14.25" customHeight="1" x14ac:dyDescent="0.15">
      <c r="F22" s="27" t="s">
        <v>186</v>
      </c>
      <c r="G22" s="28"/>
      <c r="H22" s="28"/>
      <c r="I22" s="28"/>
      <c r="J22" s="29"/>
      <c r="K22" s="27" t="s">
        <v>73</v>
      </c>
      <c r="L22" s="28"/>
      <c r="M22" s="28"/>
      <c r="N22" s="28"/>
      <c r="O22" s="28"/>
      <c r="P22" s="28"/>
      <c r="Q22" s="28"/>
      <c r="R22" s="28"/>
      <c r="S22" s="28"/>
      <c r="T22" s="28"/>
      <c r="U22" s="28"/>
      <c r="V22" s="28"/>
      <c r="W22" s="28"/>
      <c r="X22" s="28"/>
      <c r="Y22" s="28"/>
      <c r="Z22" s="28"/>
      <c r="AA22" s="28"/>
      <c r="AB22" s="29"/>
    </row>
    <row r="23" spans="6:28" ht="14.25" customHeight="1" x14ac:dyDescent="0.15">
      <c r="F23" s="45" t="s">
        <v>187</v>
      </c>
      <c r="G23" s="33"/>
      <c r="H23" s="33"/>
      <c r="I23" s="33"/>
      <c r="J23" s="34"/>
      <c r="K23" s="45" t="s">
        <v>189</v>
      </c>
      <c r="L23" s="33"/>
      <c r="M23" s="33"/>
      <c r="N23" s="33"/>
      <c r="O23" s="33"/>
      <c r="P23" s="33"/>
      <c r="Q23" s="33"/>
      <c r="R23" s="33"/>
      <c r="S23" s="33"/>
      <c r="T23" s="33"/>
      <c r="U23" s="33"/>
      <c r="V23" s="33"/>
      <c r="W23" s="33"/>
      <c r="X23" s="33"/>
      <c r="Y23" s="33"/>
      <c r="Z23" s="33"/>
      <c r="AA23" s="33"/>
      <c r="AB23" s="34"/>
    </row>
    <row r="24" spans="6:28" ht="14.25" customHeight="1" x14ac:dyDescent="0.15">
      <c r="F24" s="73" t="s">
        <v>188</v>
      </c>
      <c r="G24" s="56"/>
      <c r="H24" s="56"/>
      <c r="I24" s="56"/>
      <c r="J24" s="57"/>
      <c r="K24" s="58" t="s">
        <v>190</v>
      </c>
      <c r="L24" s="56"/>
      <c r="M24" s="56"/>
      <c r="N24" s="56"/>
      <c r="O24" s="56"/>
      <c r="P24" s="56"/>
      <c r="Q24" s="56"/>
      <c r="R24" s="56"/>
      <c r="S24" s="56"/>
      <c r="T24" s="56"/>
      <c r="U24" s="56"/>
      <c r="V24" s="56"/>
      <c r="W24" s="56"/>
      <c r="X24" s="56"/>
      <c r="Y24" s="56"/>
      <c r="Z24" s="56"/>
      <c r="AA24" s="56"/>
      <c r="AB24" s="57"/>
    </row>
    <row r="25" spans="6:28" ht="14.25" customHeight="1" x14ac:dyDescent="0.15">
      <c r="F25" s="55"/>
      <c r="G25" s="53"/>
      <c r="H25" s="53"/>
      <c r="I25" s="53"/>
      <c r="J25" s="54"/>
      <c r="K25" s="55" t="s">
        <v>191</v>
      </c>
      <c r="L25" s="53"/>
      <c r="M25" s="53"/>
      <c r="N25" s="53"/>
      <c r="O25" s="53"/>
      <c r="P25" s="53"/>
      <c r="Q25" s="53"/>
      <c r="R25" s="53"/>
      <c r="S25" s="53"/>
      <c r="T25" s="53"/>
      <c r="U25" s="53"/>
      <c r="V25" s="53"/>
      <c r="W25" s="53"/>
      <c r="X25" s="53"/>
      <c r="Y25" s="53"/>
      <c r="Z25" s="53"/>
      <c r="AA25" s="53"/>
      <c r="AB25" s="54"/>
    </row>
    <row r="27" spans="6:28" ht="14.25" customHeight="1" x14ac:dyDescent="0.15">
      <c r="F27" s="15" t="s">
        <v>21</v>
      </c>
    </row>
    <row r="28" spans="6:28" ht="14.25" customHeight="1" x14ac:dyDescent="0.15">
      <c r="F28" s="15" t="s">
        <v>22</v>
      </c>
    </row>
    <row r="30" spans="6:28" ht="14.25" customHeight="1" x14ac:dyDescent="0.15">
      <c r="F30" s="14" t="s">
        <v>23</v>
      </c>
    </row>
    <row r="38" spans="3:35" ht="14.25" customHeight="1" x14ac:dyDescent="0.15">
      <c r="E38" s="26" t="str">
        <f>$D$12&amp;"2."</f>
        <v>5.2.2.2.</v>
      </c>
      <c r="F38" s="15" t="s">
        <v>24</v>
      </c>
    </row>
    <row r="39" spans="3:35" ht="11.25" customHeight="1" x14ac:dyDescent="0.15">
      <c r="C39" s="14"/>
      <c r="D39" s="14"/>
      <c r="E39" s="14"/>
      <c r="F39" s="14" t="s">
        <v>25</v>
      </c>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row r="40" spans="3:35" ht="11.25" customHeight="1" x14ac:dyDescent="0.15">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row>
    <row r="41" spans="3:35" ht="11.25" customHeight="1" x14ac:dyDescent="0.15">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row>
    <row r="42" spans="3:35" ht="11.25" customHeight="1" x14ac:dyDescent="0.15">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row>
    <row r="43" spans="3:35" ht="11.25" customHeight="1" x14ac:dyDescent="0.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row>
    <row r="44" spans="3:35" ht="11.25" customHeight="1" x14ac:dyDescent="0.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row>
    <row r="45" spans="3:35" ht="11.25" customHeight="1" x14ac:dyDescent="0.15">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row>
    <row r="46" spans="3:35" ht="11.25" customHeight="1" x14ac:dyDescent="0.15">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row>
    <row r="47" spans="3:35" ht="11.25" customHeight="1" x14ac:dyDescent="0.15">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row>
    <row r="48" spans="3:35" ht="11.25" customHeight="1" x14ac:dyDescent="0.15">
      <c r="E48" s="26"/>
      <c r="F48" s="40"/>
      <c r="G48" s="35" t="s">
        <v>26</v>
      </c>
      <c r="H48" s="23"/>
      <c r="I48" s="23"/>
      <c r="J48" s="23"/>
      <c r="K48" s="23"/>
      <c r="L48" s="23"/>
      <c r="M48" s="23"/>
      <c r="N48" s="23"/>
      <c r="O48" s="23"/>
      <c r="P48" s="22"/>
      <c r="Q48" s="23" t="s">
        <v>27</v>
      </c>
      <c r="R48" s="23"/>
      <c r="S48" s="23"/>
      <c r="T48" s="23"/>
      <c r="U48" s="23"/>
      <c r="V48" s="23"/>
      <c r="W48" s="23"/>
      <c r="X48" s="23"/>
      <c r="Y48" s="23"/>
      <c r="Z48" s="23"/>
      <c r="AA48" s="23"/>
      <c r="AB48" s="23"/>
      <c r="AC48" s="23"/>
      <c r="AD48" s="23"/>
      <c r="AE48" s="23"/>
      <c r="AF48" s="23"/>
      <c r="AG48" s="23"/>
      <c r="AH48" s="22"/>
      <c r="AI48" s="14"/>
    </row>
    <row r="49" spans="3:41" ht="11.25" customHeight="1" x14ac:dyDescent="0.15">
      <c r="E49" s="26"/>
      <c r="F49" s="41" t="s">
        <v>28</v>
      </c>
      <c r="G49" s="21" t="s">
        <v>29</v>
      </c>
      <c r="H49" s="24"/>
      <c r="I49" s="24"/>
      <c r="J49" s="24"/>
      <c r="K49" s="24"/>
      <c r="L49" s="24"/>
      <c r="M49" s="24"/>
      <c r="N49" s="24"/>
      <c r="O49" s="24"/>
      <c r="P49" s="25"/>
      <c r="Q49" s="21" t="s">
        <v>30</v>
      </c>
      <c r="R49" s="24"/>
      <c r="S49" s="24"/>
      <c r="T49" s="24"/>
      <c r="U49" s="24"/>
      <c r="V49" s="24"/>
      <c r="W49" s="24"/>
      <c r="X49" s="24"/>
      <c r="Y49" s="24"/>
      <c r="Z49" s="24"/>
      <c r="AA49" s="24"/>
      <c r="AB49" s="24"/>
      <c r="AC49" s="24"/>
      <c r="AD49" s="24"/>
      <c r="AE49" s="24"/>
      <c r="AF49" s="24"/>
      <c r="AG49" s="24"/>
      <c r="AH49" s="25"/>
      <c r="AI49" s="14"/>
    </row>
    <row r="50" spans="3:41" ht="11.25" customHeight="1" x14ac:dyDescent="0.15">
      <c r="E50" s="26"/>
      <c r="F50" s="42"/>
      <c r="G50" s="18"/>
      <c r="H50" s="19"/>
      <c r="I50" s="19"/>
      <c r="J50" s="19"/>
      <c r="K50" s="19"/>
      <c r="L50" s="19"/>
      <c r="M50" s="19"/>
      <c r="N50" s="19"/>
      <c r="O50" s="19"/>
      <c r="P50" s="20"/>
      <c r="Q50" s="18"/>
      <c r="R50" s="19"/>
      <c r="S50" s="19"/>
      <c r="T50" s="19"/>
      <c r="U50" s="19"/>
      <c r="V50" s="19"/>
      <c r="W50" s="19"/>
      <c r="X50" s="19"/>
      <c r="Y50" s="19"/>
      <c r="Z50" s="19"/>
      <c r="AA50" s="19"/>
      <c r="AB50" s="19"/>
      <c r="AC50" s="19"/>
      <c r="AD50" s="19"/>
      <c r="AE50" s="19"/>
      <c r="AF50" s="19"/>
      <c r="AG50" s="19"/>
      <c r="AH50" s="20"/>
      <c r="AI50" s="14"/>
    </row>
    <row r="51" spans="3:41" ht="11.25" customHeight="1" x14ac:dyDescent="0.15">
      <c r="E51" s="26"/>
      <c r="F51" s="41" t="s">
        <v>31</v>
      </c>
      <c r="G51" s="21" t="s">
        <v>32</v>
      </c>
      <c r="H51" s="24"/>
      <c r="I51" s="24"/>
      <c r="J51" s="24"/>
      <c r="K51" s="24"/>
      <c r="L51" s="24"/>
      <c r="M51" s="24"/>
      <c r="N51" s="24"/>
      <c r="O51" s="24"/>
      <c r="P51" s="25"/>
      <c r="Q51" s="21" t="s">
        <v>33</v>
      </c>
      <c r="R51" s="24"/>
      <c r="S51" s="24"/>
      <c r="T51" s="24"/>
      <c r="U51" s="24"/>
      <c r="V51" s="24"/>
      <c r="W51" s="24"/>
      <c r="X51" s="24"/>
      <c r="Y51" s="24"/>
      <c r="Z51" s="24"/>
      <c r="AA51" s="24"/>
      <c r="AB51" s="24"/>
      <c r="AC51" s="24"/>
      <c r="AD51" s="24"/>
      <c r="AE51" s="24"/>
      <c r="AF51" s="24"/>
      <c r="AG51" s="24"/>
      <c r="AH51" s="25"/>
      <c r="AI51" s="14"/>
      <c r="AO51" s="43"/>
    </row>
    <row r="52" spans="3:41" ht="11.25" customHeight="1" x14ac:dyDescent="0.15">
      <c r="E52" s="26"/>
      <c r="F52" s="44"/>
      <c r="G52" s="16"/>
      <c r="H52" s="14"/>
      <c r="I52" s="14"/>
      <c r="J52" s="14"/>
      <c r="K52" s="14"/>
      <c r="L52" s="14"/>
      <c r="M52" s="14"/>
      <c r="N52" s="14"/>
      <c r="O52" s="14"/>
      <c r="P52" s="17"/>
      <c r="Q52" s="16"/>
      <c r="R52" s="14"/>
      <c r="S52" s="14"/>
      <c r="T52" s="14"/>
      <c r="U52" s="14"/>
      <c r="V52" s="14"/>
      <c r="W52" s="14"/>
      <c r="X52" s="14"/>
      <c r="Y52" s="14"/>
      <c r="Z52" s="14"/>
      <c r="AA52" s="14"/>
      <c r="AB52" s="14"/>
      <c r="AC52" s="14"/>
      <c r="AD52" s="14"/>
      <c r="AE52" s="14"/>
      <c r="AF52" s="14"/>
      <c r="AG52" s="14"/>
      <c r="AH52" s="17"/>
      <c r="AI52" s="14"/>
    </row>
    <row r="53" spans="3:41" ht="11.25" customHeight="1" x14ac:dyDescent="0.15">
      <c r="E53" s="26"/>
      <c r="F53" s="41" t="s">
        <v>34</v>
      </c>
      <c r="G53" s="21" t="s">
        <v>35</v>
      </c>
      <c r="H53" s="24"/>
      <c r="I53" s="24"/>
      <c r="J53" s="24"/>
      <c r="K53" s="24"/>
      <c r="L53" s="24"/>
      <c r="M53" s="24"/>
      <c r="N53" s="24"/>
      <c r="O53" s="24"/>
      <c r="P53" s="25"/>
      <c r="Q53" s="21" t="s">
        <v>36</v>
      </c>
      <c r="R53" s="24"/>
      <c r="S53" s="24"/>
      <c r="T53" s="24"/>
      <c r="U53" s="24"/>
      <c r="V53" s="24"/>
      <c r="W53" s="24"/>
      <c r="X53" s="24"/>
      <c r="Y53" s="24"/>
      <c r="Z53" s="24"/>
      <c r="AA53" s="24"/>
      <c r="AB53" s="24"/>
      <c r="AC53" s="24"/>
      <c r="AD53" s="24"/>
      <c r="AE53" s="24"/>
      <c r="AF53" s="24"/>
      <c r="AG53" s="24"/>
      <c r="AH53" s="25"/>
      <c r="AI53" s="14"/>
    </row>
    <row r="54" spans="3:41" ht="11.25" customHeight="1" x14ac:dyDescent="0.15">
      <c r="E54" s="26"/>
      <c r="F54" s="42"/>
      <c r="G54" s="18"/>
      <c r="H54" s="19"/>
      <c r="I54" s="19"/>
      <c r="J54" s="19"/>
      <c r="K54" s="19"/>
      <c r="L54" s="19"/>
      <c r="M54" s="19"/>
      <c r="N54" s="19"/>
      <c r="O54" s="19"/>
      <c r="P54" s="20"/>
      <c r="Q54" s="18"/>
      <c r="R54" s="19"/>
      <c r="S54" s="19"/>
      <c r="T54" s="19"/>
      <c r="U54" s="19"/>
      <c r="V54" s="19"/>
      <c r="W54" s="19"/>
      <c r="X54" s="19"/>
      <c r="Y54" s="19"/>
      <c r="Z54" s="19"/>
      <c r="AA54" s="19"/>
      <c r="AB54" s="19"/>
      <c r="AC54" s="19"/>
      <c r="AD54" s="19"/>
      <c r="AE54" s="19"/>
      <c r="AF54" s="19"/>
      <c r="AG54" s="19"/>
      <c r="AH54" s="20"/>
      <c r="AI54" s="14"/>
    </row>
    <row r="55" spans="3:41" ht="11.25" customHeight="1" x14ac:dyDescent="0.15">
      <c r="E55" s="26"/>
      <c r="F55" s="41" t="s">
        <v>37</v>
      </c>
      <c r="G55" s="21" t="s">
        <v>38</v>
      </c>
      <c r="H55" s="24"/>
      <c r="I55" s="24"/>
      <c r="J55" s="24"/>
      <c r="K55" s="24"/>
      <c r="L55" s="24"/>
      <c r="M55" s="24"/>
      <c r="N55" s="24"/>
      <c r="O55" s="24"/>
      <c r="P55" s="25"/>
      <c r="Q55" s="21" t="s">
        <v>39</v>
      </c>
      <c r="R55" s="24"/>
      <c r="S55" s="24"/>
      <c r="T55" s="24"/>
      <c r="U55" s="24"/>
      <c r="V55" s="24"/>
      <c r="W55" s="24"/>
      <c r="X55" s="24"/>
      <c r="Y55" s="24"/>
      <c r="Z55" s="24"/>
      <c r="AA55" s="24"/>
      <c r="AB55" s="24"/>
      <c r="AC55" s="24"/>
      <c r="AD55" s="24"/>
      <c r="AE55" s="24"/>
      <c r="AF55" s="24"/>
      <c r="AG55" s="24"/>
      <c r="AH55" s="25"/>
      <c r="AI55" s="14"/>
    </row>
    <row r="56" spans="3:41" ht="11.25" customHeight="1" x14ac:dyDescent="0.15">
      <c r="E56" s="26"/>
      <c r="F56" s="42"/>
      <c r="G56" s="16"/>
      <c r="H56" s="14"/>
      <c r="I56" s="14"/>
      <c r="J56" s="14"/>
      <c r="K56" s="14"/>
      <c r="L56" s="14"/>
      <c r="M56" s="14"/>
      <c r="N56" s="14"/>
      <c r="O56" s="14"/>
      <c r="P56" s="17"/>
      <c r="Q56" s="16"/>
      <c r="R56" s="14"/>
      <c r="S56" s="14"/>
      <c r="T56" s="14"/>
      <c r="U56" s="14"/>
      <c r="V56" s="14"/>
      <c r="W56" s="14"/>
      <c r="X56" s="14"/>
      <c r="Y56" s="14"/>
      <c r="Z56" s="14"/>
      <c r="AA56" s="14"/>
      <c r="AB56" s="14"/>
      <c r="AC56" s="14"/>
      <c r="AD56" s="14"/>
      <c r="AE56" s="14"/>
      <c r="AF56" s="14"/>
      <c r="AG56" s="14"/>
      <c r="AH56" s="17"/>
      <c r="AI56" s="14"/>
    </row>
    <row r="57" spans="3:41" ht="11.25" customHeight="1" x14ac:dyDescent="0.15">
      <c r="E57" s="26"/>
      <c r="F57" s="44" t="s">
        <v>40</v>
      </c>
      <c r="G57" s="21" t="s">
        <v>41</v>
      </c>
      <c r="H57" s="24"/>
      <c r="I57" s="24"/>
      <c r="J57" s="24"/>
      <c r="K57" s="24"/>
      <c r="L57" s="24"/>
      <c r="M57" s="24"/>
      <c r="N57" s="24"/>
      <c r="O57" s="24"/>
      <c r="P57" s="25"/>
      <c r="Q57" s="21" t="s">
        <v>42</v>
      </c>
      <c r="R57" s="24"/>
      <c r="S57" s="24"/>
      <c r="T57" s="24"/>
      <c r="U57" s="24"/>
      <c r="V57" s="24"/>
      <c r="W57" s="24"/>
      <c r="X57" s="24"/>
      <c r="Y57" s="24"/>
      <c r="Z57" s="24"/>
      <c r="AA57" s="24"/>
      <c r="AB57" s="24"/>
      <c r="AC57" s="24"/>
      <c r="AD57" s="24"/>
      <c r="AE57" s="24"/>
      <c r="AF57" s="24"/>
      <c r="AG57" s="24"/>
      <c r="AH57" s="25"/>
      <c r="AI57" s="14"/>
    </row>
    <row r="58" spans="3:41" ht="11.25" customHeight="1" x14ac:dyDescent="0.15">
      <c r="E58" s="26"/>
      <c r="F58" s="42"/>
      <c r="G58" s="18"/>
      <c r="H58" s="19"/>
      <c r="I58" s="19"/>
      <c r="J58" s="19"/>
      <c r="K58" s="19"/>
      <c r="L58" s="19"/>
      <c r="M58" s="19"/>
      <c r="N58" s="19"/>
      <c r="O58" s="19"/>
      <c r="P58" s="20"/>
      <c r="Q58" s="18"/>
      <c r="R58" s="19"/>
      <c r="S58" s="19"/>
      <c r="T58" s="19"/>
      <c r="U58" s="19"/>
      <c r="V58" s="19"/>
      <c r="W58" s="19"/>
      <c r="X58" s="19"/>
      <c r="Y58" s="19"/>
      <c r="Z58" s="19"/>
      <c r="AA58" s="19"/>
      <c r="AB58" s="19"/>
      <c r="AC58" s="19"/>
      <c r="AD58" s="19"/>
      <c r="AE58" s="19"/>
      <c r="AF58" s="19"/>
      <c r="AG58" s="19"/>
      <c r="AH58" s="20"/>
      <c r="AI58" s="14"/>
    </row>
    <row r="59" spans="3:41" ht="11.25" customHeight="1" x14ac:dyDescent="0.15">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spans="3:41" ht="11.25" customHeight="1" x14ac:dyDescent="0.15">
      <c r="C60" s="14"/>
      <c r="D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row>
    <row r="61" spans="3:41" ht="11.25" customHeight="1" x14ac:dyDescent="0.15">
      <c r="C61" s="14"/>
      <c r="D61" s="14"/>
      <c r="E61" s="26" t="str">
        <f>$D$12&amp;"3."</f>
        <v>5.2.2.3.</v>
      </c>
      <c r="F61" s="15" t="s">
        <v>43</v>
      </c>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row>
    <row r="62" spans="3:41" ht="11.25" customHeight="1" x14ac:dyDescent="0.15">
      <c r="C62" s="14"/>
      <c r="D62" s="14"/>
      <c r="E62" s="26"/>
      <c r="F62" s="14" t="s">
        <v>44</v>
      </c>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spans="3:41" ht="11.25" customHeight="1" x14ac:dyDescent="0.15">
      <c r="C63" s="14"/>
      <c r="D63" s="14"/>
      <c r="E63" s="26"/>
      <c r="F63" s="14" t="s">
        <v>45</v>
      </c>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spans="3:41" ht="11.25" customHeight="1" x14ac:dyDescent="0.15">
      <c r="C64" s="14"/>
      <c r="D64" s="14"/>
      <c r="E64" s="26"/>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spans="3:35" ht="11.25" customHeight="1" x14ac:dyDescent="0.15">
      <c r="C65" s="14"/>
      <c r="D65" s="14"/>
      <c r="E65" s="14"/>
      <c r="F65" s="27" t="s">
        <v>43</v>
      </c>
      <c r="G65" s="28"/>
      <c r="H65" s="28"/>
      <c r="I65" s="29"/>
      <c r="J65" s="27" t="s">
        <v>46</v>
      </c>
      <c r="K65" s="28"/>
      <c r="L65" s="28"/>
      <c r="M65" s="28"/>
      <c r="N65" s="28"/>
      <c r="O65" s="28"/>
      <c r="P65" s="28"/>
      <c r="Q65" s="28"/>
      <c r="R65" s="29"/>
      <c r="S65" s="14"/>
      <c r="T65" s="14"/>
      <c r="U65" s="14"/>
      <c r="V65" s="14"/>
      <c r="W65" s="14"/>
      <c r="X65" s="14"/>
      <c r="Y65" s="14"/>
      <c r="Z65" s="14"/>
      <c r="AA65" s="14"/>
      <c r="AB65" s="14"/>
      <c r="AC65" s="14"/>
      <c r="AD65" s="14"/>
      <c r="AE65" s="14"/>
      <c r="AF65" s="14"/>
      <c r="AG65" s="14"/>
      <c r="AH65" s="14"/>
      <c r="AI65" s="14"/>
    </row>
    <row r="66" spans="3:35" ht="11.25" customHeight="1" x14ac:dyDescent="0.15">
      <c r="C66" s="14"/>
      <c r="D66" s="14"/>
      <c r="E66" s="14"/>
      <c r="F66" s="30" t="s">
        <v>47</v>
      </c>
      <c r="G66" s="31"/>
      <c r="H66" s="31"/>
      <c r="I66" s="32"/>
      <c r="J66" s="30" t="s">
        <v>48</v>
      </c>
      <c r="K66" s="33"/>
      <c r="L66" s="33"/>
      <c r="M66" s="33"/>
      <c r="N66" s="33"/>
      <c r="O66" s="33"/>
      <c r="P66" s="33"/>
      <c r="Q66" s="33"/>
      <c r="R66" s="34"/>
      <c r="S66" s="14"/>
      <c r="T66" s="14"/>
      <c r="U66" s="14"/>
      <c r="V66" s="14"/>
      <c r="W66" s="14"/>
      <c r="X66" s="14"/>
      <c r="Y66" s="14"/>
      <c r="Z66" s="14"/>
      <c r="AA66" s="14"/>
      <c r="AB66" s="14"/>
      <c r="AC66" s="14"/>
      <c r="AD66" s="14"/>
      <c r="AE66" s="14"/>
      <c r="AF66" s="14"/>
      <c r="AG66" s="14"/>
      <c r="AH66" s="14"/>
      <c r="AI66" s="14"/>
    </row>
    <row r="67" spans="3:35" ht="11.25" customHeight="1" x14ac:dyDescent="0.15">
      <c r="C67" s="14"/>
      <c r="D67" s="14"/>
      <c r="E67" s="14"/>
      <c r="F67" s="30" t="s">
        <v>49</v>
      </c>
      <c r="G67" s="31"/>
      <c r="H67" s="31"/>
      <c r="I67" s="32"/>
      <c r="J67" s="30" t="s">
        <v>50</v>
      </c>
      <c r="K67" s="33"/>
      <c r="L67" s="33"/>
      <c r="M67" s="33"/>
      <c r="N67" s="33"/>
      <c r="O67" s="33"/>
      <c r="P67" s="33"/>
      <c r="Q67" s="33"/>
      <c r="R67" s="34"/>
      <c r="S67" s="14"/>
      <c r="T67" s="14"/>
      <c r="U67" s="14"/>
      <c r="V67" s="14"/>
      <c r="W67" s="14"/>
      <c r="X67" s="14"/>
      <c r="Y67" s="14"/>
      <c r="Z67" s="14"/>
      <c r="AA67" s="14"/>
      <c r="AB67" s="14"/>
      <c r="AC67" s="14"/>
      <c r="AD67" s="14"/>
      <c r="AE67" s="14"/>
      <c r="AF67" s="14"/>
      <c r="AG67" s="14"/>
      <c r="AH67" s="14"/>
      <c r="AI67" s="14"/>
    </row>
    <row r="68" spans="3:35" ht="11.25" customHeight="1" x14ac:dyDescent="0.15">
      <c r="C68" s="14"/>
      <c r="D68" s="14"/>
      <c r="E68" s="14"/>
      <c r="F68" s="30" t="s">
        <v>51</v>
      </c>
      <c r="G68" s="31"/>
      <c r="H68" s="31"/>
      <c r="I68" s="32"/>
      <c r="J68" s="30" t="s">
        <v>52</v>
      </c>
      <c r="K68" s="33"/>
      <c r="L68" s="33"/>
      <c r="M68" s="33"/>
      <c r="N68" s="33"/>
      <c r="O68" s="33"/>
      <c r="P68" s="33"/>
      <c r="Q68" s="33"/>
      <c r="R68" s="34"/>
      <c r="S68" s="14"/>
      <c r="T68" s="14"/>
      <c r="U68" s="14"/>
      <c r="V68" s="14"/>
      <c r="W68" s="14"/>
      <c r="X68" s="14"/>
      <c r="Y68" s="14"/>
      <c r="Z68" s="14"/>
      <c r="AA68" s="14"/>
      <c r="AB68" s="14"/>
      <c r="AC68" s="14"/>
      <c r="AD68" s="14"/>
      <c r="AE68" s="14"/>
      <c r="AF68" s="14"/>
      <c r="AG68" s="14"/>
      <c r="AH68" s="14"/>
      <c r="AI68" s="14"/>
    </row>
    <row r="69" spans="3:35" ht="11.25" customHeight="1" x14ac:dyDescent="0.15">
      <c r="C69" s="14"/>
      <c r="D69" s="14"/>
      <c r="E69" s="14"/>
      <c r="F69" s="30" t="s">
        <v>53</v>
      </c>
      <c r="G69" s="31"/>
      <c r="H69" s="31"/>
      <c r="I69" s="32"/>
      <c r="J69" s="30" t="s">
        <v>54</v>
      </c>
      <c r="K69" s="33"/>
      <c r="L69" s="33"/>
      <c r="M69" s="33"/>
      <c r="N69" s="33"/>
      <c r="O69" s="33"/>
      <c r="P69" s="33"/>
      <c r="Q69" s="33"/>
      <c r="R69" s="34"/>
      <c r="S69" s="14"/>
      <c r="T69" s="14"/>
      <c r="U69" s="14"/>
      <c r="V69" s="14"/>
      <c r="W69" s="14"/>
      <c r="X69" s="14"/>
      <c r="Y69" s="14"/>
      <c r="Z69" s="14"/>
      <c r="AA69" s="14"/>
      <c r="AB69" s="14"/>
      <c r="AC69" s="14"/>
      <c r="AD69" s="14"/>
      <c r="AE69" s="14"/>
      <c r="AF69" s="14"/>
      <c r="AG69" s="14"/>
      <c r="AH69" s="14"/>
      <c r="AI69" s="14"/>
    </row>
    <row r="70" spans="3:35" ht="11.25" customHeight="1" x14ac:dyDescent="0.15">
      <c r="C70" s="14"/>
      <c r="D70" s="14"/>
      <c r="E70" s="14"/>
      <c r="F70" s="14" t="s">
        <v>55</v>
      </c>
      <c r="G70" s="14"/>
      <c r="H70" s="14"/>
      <c r="I70" s="14"/>
      <c r="J70" s="14"/>
      <c r="S70" s="14"/>
      <c r="T70" s="14"/>
      <c r="U70" s="14"/>
      <c r="V70" s="14"/>
      <c r="W70" s="14"/>
      <c r="X70" s="14"/>
      <c r="Y70" s="14"/>
      <c r="Z70" s="14"/>
      <c r="AA70" s="14"/>
      <c r="AB70" s="14"/>
      <c r="AC70" s="14"/>
      <c r="AD70" s="14"/>
      <c r="AE70" s="14"/>
      <c r="AF70" s="14"/>
      <c r="AG70" s="14"/>
      <c r="AH70" s="14"/>
      <c r="AI70" s="14"/>
    </row>
    <row r="72" spans="3:35" ht="14.25" customHeight="1" x14ac:dyDescent="0.15">
      <c r="E72" s="26" t="str">
        <f>$D$12&amp;"4."</f>
        <v>5.2.2.4.</v>
      </c>
      <c r="F72" s="15" t="s">
        <v>56</v>
      </c>
    </row>
    <row r="73" spans="3:35" ht="11.25" customHeight="1" x14ac:dyDescent="0.15">
      <c r="C73" s="14"/>
      <c r="D73" s="14"/>
      <c r="E73" s="26"/>
      <c r="F73" s="14" t="s">
        <v>57</v>
      </c>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spans="3:35" ht="11.25" customHeight="1" x14ac:dyDescent="0.15">
      <c r="C74" s="14"/>
      <c r="D74" s="14"/>
      <c r="E74" s="26"/>
      <c r="F74" s="14" t="s">
        <v>58</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spans="3:35" ht="11.25" customHeight="1" x14ac:dyDescent="0.15">
      <c r="C75" s="14"/>
      <c r="D75" s="14"/>
      <c r="E75" s="26"/>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spans="3:35" ht="11.25" customHeight="1" x14ac:dyDescent="0.15">
      <c r="C76" s="14"/>
      <c r="D76" s="14"/>
      <c r="E76" s="26"/>
      <c r="F76" s="27" t="s">
        <v>56</v>
      </c>
      <c r="G76" s="28"/>
      <c r="H76" s="28"/>
      <c r="I76" s="29"/>
      <c r="J76" s="28"/>
      <c r="K76" s="29"/>
      <c r="L76" s="36" t="s">
        <v>59</v>
      </c>
      <c r="M76" s="37"/>
      <c r="N76" s="37"/>
      <c r="O76" s="37"/>
      <c r="P76" s="37"/>
      <c r="Q76" s="37"/>
      <c r="R76" s="37"/>
      <c r="S76" s="37"/>
      <c r="T76" s="37"/>
      <c r="U76" s="37"/>
      <c r="V76" s="37"/>
      <c r="W76" s="37"/>
      <c r="X76" s="37"/>
      <c r="Y76" s="37"/>
      <c r="Z76" s="37"/>
      <c r="AA76" s="37"/>
      <c r="AB76" s="37"/>
      <c r="AC76" s="38"/>
      <c r="AD76" s="14"/>
      <c r="AE76" s="14"/>
      <c r="AF76" s="14"/>
      <c r="AG76" s="14"/>
      <c r="AH76" s="14"/>
      <c r="AI76" s="14"/>
    </row>
    <row r="77" spans="3:35" ht="11.25" customHeight="1" x14ac:dyDescent="0.15">
      <c r="C77" s="14"/>
      <c r="D77" s="14"/>
      <c r="E77" s="14"/>
      <c r="F77" s="30" t="s">
        <v>60</v>
      </c>
      <c r="G77" s="31"/>
      <c r="H77" s="31"/>
      <c r="I77" s="31"/>
      <c r="J77" s="31"/>
      <c r="K77" s="32"/>
      <c r="L77" s="30" t="s">
        <v>61</v>
      </c>
      <c r="M77" s="31"/>
      <c r="N77" s="31"/>
      <c r="O77" s="31"/>
      <c r="P77" s="31"/>
      <c r="Q77" s="31"/>
      <c r="R77" s="31"/>
      <c r="S77" s="31"/>
      <c r="T77" s="31"/>
      <c r="U77" s="31"/>
      <c r="V77" s="31"/>
      <c r="W77" s="31"/>
      <c r="X77" s="31"/>
      <c r="Y77" s="31"/>
      <c r="Z77" s="31"/>
      <c r="AA77" s="31"/>
      <c r="AB77" s="31"/>
      <c r="AC77" s="32"/>
      <c r="AD77" s="14"/>
      <c r="AE77" s="14"/>
      <c r="AF77" s="14"/>
      <c r="AG77" s="14"/>
      <c r="AH77" s="14"/>
      <c r="AI77" s="14"/>
    </row>
    <row r="78" spans="3:35" ht="11.25" customHeight="1" x14ac:dyDescent="0.15">
      <c r="C78" s="14"/>
      <c r="D78" s="14"/>
      <c r="E78" s="14"/>
      <c r="F78" s="30" t="s">
        <v>62</v>
      </c>
      <c r="G78" s="31"/>
      <c r="H78" s="31"/>
      <c r="I78" s="31"/>
      <c r="J78" s="31"/>
      <c r="K78" s="32"/>
      <c r="L78" s="30" t="s">
        <v>63</v>
      </c>
      <c r="M78" s="31"/>
      <c r="N78" s="31"/>
      <c r="O78" s="31"/>
      <c r="P78" s="31"/>
      <c r="Q78" s="31"/>
      <c r="R78" s="31"/>
      <c r="S78" s="31"/>
      <c r="T78" s="31"/>
      <c r="U78" s="31"/>
      <c r="V78" s="31"/>
      <c r="W78" s="31"/>
      <c r="X78" s="31"/>
      <c r="Y78" s="31"/>
      <c r="Z78" s="31"/>
      <c r="AA78" s="31"/>
      <c r="AB78" s="31"/>
      <c r="AC78" s="32"/>
      <c r="AD78" s="14"/>
      <c r="AE78" s="14"/>
      <c r="AF78" s="14"/>
      <c r="AG78" s="14"/>
      <c r="AH78" s="14"/>
      <c r="AI78" s="14"/>
    </row>
    <row r="79" spans="3:35" ht="11.25" customHeight="1" x14ac:dyDescent="0.15">
      <c r="C79" s="14"/>
      <c r="D79" s="14"/>
      <c r="E79" s="14"/>
      <c r="F79" s="21" t="s">
        <v>64</v>
      </c>
      <c r="G79" s="24"/>
      <c r="H79" s="24"/>
      <c r="I79" s="24"/>
      <c r="J79" s="24"/>
      <c r="K79" s="25"/>
      <c r="L79" s="21" t="s">
        <v>201</v>
      </c>
      <c r="M79" s="24"/>
      <c r="N79" s="24"/>
      <c r="O79" s="24"/>
      <c r="P79" s="24"/>
      <c r="Q79" s="24"/>
      <c r="R79" s="24"/>
      <c r="S79" s="24"/>
      <c r="T79" s="24"/>
      <c r="U79" s="24"/>
      <c r="V79" s="24"/>
      <c r="W79" s="24"/>
      <c r="X79" s="24"/>
      <c r="Y79" s="24"/>
      <c r="Z79" s="24"/>
      <c r="AA79" s="24"/>
      <c r="AB79" s="24"/>
      <c r="AC79" s="25"/>
      <c r="AD79" s="14"/>
      <c r="AE79" s="14"/>
      <c r="AF79" s="14"/>
      <c r="AG79" s="14"/>
      <c r="AH79" s="14"/>
      <c r="AI79" s="14"/>
    </row>
    <row r="80" spans="3:35" ht="11.25" customHeight="1" x14ac:dyDescent="0.15">
      <c r="C80" s="14"/>
      <c r="D80" s="14"/>
      <c r="E80" s="14"/>
      <c r="F80" s="18"/>
      <c r="G80" s="19"/>
      <c r="H80" s="19"/>
      <c r="I80" s="19"/>
      <c r="J80" s="19"/>
      <c r="K80" s="20"/>
      <c r="L80" s="18" t="s">
        <v>193</v>
      </c>
      <c r="M80" s="19"/>
      <c r="N80" s="19"/>
      <c r="O80" s="19"/>
      <c r="P80" s="19"/>
      <c r="Q80" s="19"/>
      <c r="R80" s="19"/>
      <c r="S80" s="19"/>
      <c r="T80" s="19"/>
      <c r="U80" s="19"/>
      <c r="V80" s="19"/>
      <c r="W80" s="19"/>
      <c r="X80" s="19"/>
      <c r="Y80" s="19"/>
      <c r="Z80" s="19"/>
      <c r="AA80" s="19"/>
      <c r="AB80" s="19"/>
      <c r="AC80" s="20"/>
      <c r="AD80" s="14"/>
      <c r="AE80" s="14"/>
      <c r="AF80" s="14"/>
      <c r="AG80" s="14"/>
      <c r="AH80" s="14"/>
      <c r="AI80" s="14"/>
    </row>
    <row r="81" spans="3:35" ht="11.25" customHeight="1" x14ac:dyDescent="0.15">
      <c r="C81" s="14"/>
      <c r="D81" s="14"/>
      <c r="E81" s="14"/>
      <c r="F81" s="21" t="s">
        <v>65</v>
      </c>
      <c r="G81" s="24"/>
      <c r="H81" s="24"/>
      <c r="I81" s="24"/>
      <c r="J81" s="24"/>
      <c r="K81" s="25"/>
      <c r="L81" s="21" t="s">
        <v>202</v>
      </c>
      <c r="M81" s="24"/>
      <c r="N81" s="24"/>
      <c r="O81" s="24"/>
      <c r="P81" s="24"/>
      <c r="Q81" s="24"/>
      <c r="R81" s="24"/>
      <c r="S81" s="24"/>
      <c r="T81" s="24"/>
      <c r="U81" s="24"/>
      <c r="V81" s="24"/>
      <c r="W81" s="24"/>
      <c r="X81" s="24"/>
      <c r="Y81" s="24"/>
      <c r="Z81" s="24"/>
      <c r="AA81" s="24"/>
      <c r="AB81" s="24"/>
      <c r="AC81" s="25"/>
      <c r="AD81" s="14"/>
      <c r="AE81" s="14"/>
      <c r="AF81" s="14"/>
      <c r="AG81" s="14"/>
      <c r="AH81" s="14"/>
      <c r="AI81" s="14"/>
    </row>
    <row r="82" spans="3:35" ht="11.25" customHeight="1" x14ac:dyDescent="0.15">
      <c r="C82" s="14"/>
      <c r="D82" s="14"/>
      <c r="E82" s="14"/>
      <c r="F82" s="18"/>
      <c r="G82" s="19"/>
      <c r="H82" s="19"/>
      <c r="I82" s="19"/>
      <c r="J82" s="19"/>
      <c r="K82" s="20"/>
      <c r="L82" s="18" t="s">
        <v>66</v>
      </c>
      <c r="M82" s="19"/>
      <c r="N82" s="19"/>
      <c r="O82" s="19"/>
      <c r="P82" s="19"/>
      <c r="Q82" s="19"/>
      <c r="R82" s="19"/>
      <c r="S82" s="19"/>
      <c r="T82" s="19"/>
      <c r="U82" s="19"/>
      <c r="V82" s="19"/>
      <c r="W82" s="19"/>
      <c r="X82" s="19"/>
      <c r="Y82" s="19"/>
      <c r="Z82" s="19"/>
      <c r="AA82" s="19"/>
      <c r="AB82" s="19"/>
      <c r="AC82" s="20"/>
      <c r="AD82" s="14"/>
      <c r="AE82" s="14"/>
      <c r="AF82" s="14"/>
      <c r="AG82" s="14"/>
      <c r="AH82" s="14"/>
      <c r="AI82" s="14"/>
    </row>
    <row r="83" spans="3:35" ht="11.25" customHeight="1" x14ac:dyDescent="0.15">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spans="3:35" ht="11.25" customHeight="1" x14ac:dyDescent="0.15">
      <c r="C84" s="14"/>
      <c r="D84" s="14"/>
      <c r="E84" s="14"/>
      <c r="F84" s="14" t="s">
        <v>67</v>
      </c>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spans="3:35" ht="11.25" customHeight="1" x14ac:dyDescent="0.15">
      <c r="C85" s="14"/>
      <c r="D85" s="14"/>
      <c r="E85" s="14"/>
      <c r="F85" s="14" t="s">
        <v>68</v>
      </c>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7" spans="3:35" ht="14.25" customHeight="1" x14ac:dyDescent="0.15">
      <c r="D87" s="26" t="str">
        <f>$C$7&amp;"3."</f>
        <v>5.2.3.</v>
      </c>
      <c r="E87" s="15" t="s">
        <v>69</v>
      </c>
    </row>
    <row r="88" spans="3:35" ht="14.25" customHeight="1" x14ac:dyDescent="0.15">
      <c r="E88" s="15" t="s">
        <v>70</v>
      </c>
    </row>
    <row r="89" spans="3:35" ht="14.25" customHeight="1" x14ac:dyDescent="0.15">
      <c r="E89" s="15" t="s">
        <v>71</v>
      </c>
    </row>
    <row r="91" spans="3:35" ht="14.25" customHeight="1" x14ac:dyDescent="0.15">
      <c r="E91" s="27" t="s">
        <v>72</v>
      </c>
      <c r="F91" s="28"/>
      <c r="G91" s="28"/>
      <c r="H91" s="28"/>
      <c r="I91" s="29"/>
      <c r="J91" s="27" t="s">
        <v>73</v>
      </c>
      <c r="K91" s="28"/>
      <c r="L91" s="28"/>
      <c r="M91" s="28"/>
      <c r="N91" s="28"/>
      <c r="O91" s="28"/>
      <c r="P91" s="28"/>
      <c r="Q91" s="28"/>
      <c r="R91" s="28"/>
      <c r="S91" s="28"/>
      <c r="T91" s="28"/>
      <c r="U91" s="28"/>
      <c r="V91" s="28"/>
      <c r="W91" s="29"/>
    </row>
    <row r="92" spans="3:35" ht="14.25" customHeight="1" x14ac:dyDescent="0.15">
      <c r="E92" s="45" t="s">
        <v>74</v>
      </c>
      <c r="F92" s="33"/>
      <c r="G92" s="33"/>
      <c r="H92" s="33"/>
      <c r="I92" s="34"/>
      <c r="J92" s="45" t="s">
        <v>204</v>
      </c>
      <c r="K92" s="33"/>
      <c r="L92" s="33"/>
      <c r="M92" s="33"/>
      <c r="N92" s="33"/>
      <c r="O92" s="33"/>
      <c r="P92" s="33"/>
      <c r="Q92" s="33"/>
      <c r="R92" s="33"/>
      <c r="S92" s="33"/>
      <c r="T92" s="33"/>
      <c r="U92" s="33"/>
      <c r="V92" s="33"/>
      <c r="W92" s="34"/>
    </row>
    <row r="93" spans="3:35" ht="14.25" customHeight="1" x14ac:dyDescent="0.15">
      <c r="E93" s="45" t="s">
        <v>75</v>
      </c>
      <c r="F93" s="33"/>
      <c r="G93" s="33"/>
      <c r="H93" s="33"/>
      <c r="I93" s="34"/>
      <c r="J93" s="45" t="s">
        <v>205</v>
      </c>
      <c r="K93" s="33"/>
      <c r="L93" s="33"/>
      <c r="M93" s="33"/>
      <c r="N93" s="33"/>
      <c r="O93" s="33"/>
      <c r="P93" s="33"/>
      <c r="Q93" s="33"/>
      <c r="R93" s="33"/>
      <c r="S93" s="33"/>
      <c r="T93" s="33"/>
      <c r="U93" s="33"/>
      <c r="V93" s="33"/>
      <c r="W93" s="34"/>
    </row>
    <row r="95" spans="3:35" ht="14.25" customHeight="1" x14ac:dyDescent="0.15">
      <c r="E95" s="15" t="s">
        <v>203</v>
      </c>
    </row>
    <row r="96" spans="3:35" ht="14.25" customHeight="1" x14ac:dyDescent="0.15">
      <c r="E96" s="15" t="s">
        <v>76</v>
      </c>
    </row>
    <row r="98" spans="3:36" ht="14.25" customHeight="1" x14ac:dyDescent="0.15">
      <c r="D98" s="26" t="str">
        <f>$C$7&amp;"4."</f>
        <v>5.2.4.</v>
      </c>
      <c r="E98" s="15" t="s">
        <v>77</v>
      </c>
    </row>
    <row r="99" spans="3:36" ht="14.25" customHeight="1" x14ac:dyDescent="0.15">
      <c r="D99" s="26"/>
    </row>
    <row r="100" spans="3:36" ht="14.25" customHeight="1" x14ac:dyDescent="0.15">
      <c r="E100" s="26" t="str">
        <f>$D$98&amp;"1."</f>
        <v>5.2.4.1.</v>
      </c>
      <c r="F100" s="15" t="s">
        <v>78</v>
      </c>
    </row>
    <row r="101" spans="3:36" ht="11.25" customHeight="1" x14ac:dyDescent="0.15">
      <c r="C101" s="14"/>
      <c r="D101" s="14"/>
      <c r="E101" s="14"/>
      <c r="F101" s="14" t="s">
        <v>79</v>
      </c>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spans="3:36" ht="11.25" customHeight="1" x14ac:dyDescent="0.15">
      <c r="C102" s="14"/>
      <c r="D102" s="14"/>
      <c r="E102" s="14"/>
      <c r="F102" s="14" t="s">
        <v>80</v>
      </c>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spans="3:36" ht="11.25" customHeight="1" x14ac:dyDescent="0.15">
      <c r="C103" s="14"/>
      <c r="D103" s="14"/>
      <c r="E103" s="14"/>
      <c r="F103" s="14" t="s">
        <v>81</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spans="3:36" ht="11.25" customHeight="1" x14ac:dyDescent="0.15">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row>
    <row r="105" spans="3:36" ht="11.25" customHeight="1" x14ac:dyDescent="0.15">
      <c r="C105" s="14"/>
      <c r="D105" s="14"/>
      <c r="E105" s="14"/>
      <c r="F105" s="27" t="s">
        <v>82</v>
      </c>
      <c r="G105" s="28"/>
      <c r="H105" s="28"/>
      <c r="I105" s="28"/>
      <c r="J105" s="28"/>
      <c r="K105" s="28"/>
      <c r="L105" s="29"/>
      <c r="M105" s="28" t="s">
        <v>83</v>
      </c>
      <c r="N105" s="28"/>
      <c r="O105" s="28"/>
      <c r="P105" s="28"/>
      <c r="Q105" s="28"/>
      <c r="R105" s="28"/>
      <c r="S105" s="28"/>
      <c r="T105" s="28"/>
      <c r="U105" s="28"/>
      <c r="V105" s="28"/>
      <c r="W105" s="28"/>
      <c r="X105" s="28"/>
      <c r="Y105" s="28"/>
      <c r="Z105" s="28"/>
      <c r="AA105" s="28"/>
      <c r="AB105" s="28"/>
      <c r="AC105" s="28"/>
      <c r="AD105" s="28"/>
      <c r="AE105" s="28"/>
      <c r="AF105" s="28"/>
      <c r="AG105" s="28"/>
      <c r="AH105" s="29"/>
      <c r="AI105" s="14"/>
      <c r="AJ105" s="14"/>
    </row>
    <row r="106" spans="3:36" ht="11.25" customHeight="1" x14ac:dyDescent="0.15">
      <c r="C106" s="14"/>
      <c r="D106" s="14"/>
      <c r="E106" s="14"/>
      <c r="F106" s="21" t="s">
        <v>84</v>
      </c>
      <c r="G106" s="24"/>
      <c r="H106" s="24"/>
      <c r="I106" s="24"/>
      <c r="J106" s="24"/>
      <c r="K106" s="24"/>
      <c r="L106" s="25"/>
      <c r="M106" s="21" t="s">
        <v>85</v>
      </c>
      <c r="N106" s="24"/>
      <c r="O106" s="24"/>
      <c r="P106" s="24"/>
      <c r="Q106" s="24"/>
      <c r="R106" s="24"/>
      <c r="S106" s="24"/>
      <c r="T106" s="24"/>
      <c r="U106" s="24"/>
      <c r="V106" s="24"/>
      <c r="W106" s="24"/>
      <c r="X106" s="24"/>
      <c r="Y106" s="24"/>
      <c r="Z106" s="24"/>
      <c r="AA106" s="24"/>
      <c r="AB106" s="24"/>
      <c r="AC106" s="24"/>
      <c r="AD106" s="24"/>
      <c r="AE106" s="24"/>
      <c r="AF106" s="24"/>
      <c r="AG106" s="24"/>
      <c r="AH106" s="25"/>
      <c r="AI106" s="14"/>
      <c r="AJ106" s="14"/>
    </row>
    <row r="107" spans="3:36" ht="11.25" customHeight="1" x14ac:dyDescent="0.15">
      <c r="C107" s="14"/>
      <c r="D107" s="14"/>
      <c r="E107" s="14"/>
      <c r="F107" s="18"/>
      <c r="G107" s="19"/>
      <c r="H107" s="19"/>
      <c r="I107" s="19"/>
      <c r="J107" s="19"/>
      <c r="K107" s="19"/>
      <c r="L107" s="20"/>
      <c r="M107" s="18"/>
      <c r="N107" s="19"/>
      <c r="O107" s="19"/>
      <c r="P107" s="19"/>
      <c r="Q107" s="19"/>
      <c r="R107" s="19"/>
      <c r="S107" s="19"/>
      <c r="T107" s="19"/>
      <c r="U107" s="19"/>
      <c r="V107" s="19"/>
      <c r="W107" s="19"/>
      <c r="X107" s="19"/>
      <c r="Y107" s="19"/>
      <c r="Z107" s="19"/>
      <c r="AA107" s="19"/>
      <c r="AB107" s="19"/>
      <c r="AC107" s="19"/>
      <c r="AD107" s="19"/>
      <c r="AE107" s="19"/>
      <c r="AF107" s="19"/>
      <c r="AG107" s="19"/>
      <c r="AH107" s="20"/>
      <c r="AI107" s="14"/>
      <c r="AJ107" s="14"/>
    </row>
    <row r="108" spans="3:36" ht="11.25" customHeight="1" x14ac:dyDescent="0.15">
      <c r="C108" s="14"/>
      <c r="D108" s="14"/>
      <c r="E108" s="14"/>
      <c r="F108" s="21" t="s">
        <v>86</v>
      </c>
      <c r="G108" s="24"/>
      <c r="H108" s="24"/>
      <c r="I108" s="24"/>
      <c r="J108" s="24"/>
      <c r="K108" s="24"/>
      <c r="L108" s="25"/>
      <c r="M108" s="21" t="s">
        <v>87</v>
      </c>
      <c r="N108" s="24"/>
      <c r="O108" s="24"/>
      <c r="P108" s="24"/>
      <c r="Q108" s="24"/>
      <c r="R108" s="24"/>
      <c r="S108" s="24"/>
      <c r="T108" s="24"/>
      <c r="U108" s="24"/>
      <c r="V108" s="24"/>
      <c r="W108" s="24"/>
      <c r="X108" s="24"/>
      <c r="Y108" s="24"/>
      <c r="Z108" s="24"/>
      <c r="AA108" s="24"/>
      <c r="AB108" s="24"/>
      <c r="AC108" s="24"/>
      <c r="AD108" s="24"/>
      <c r="AE108" s="24"/>
      <c r="AF108" s="24"/>
      <c r="AG108" s="24"/>
      <c r="AH108" s="25"/>
      <c r="AI108" s="14"/>
      <c r="AJ108" s="14"/>
    </row>
    <row r="109" spans="3:36" ht="11.25" customHeight="1" x14ac:dyDescent="0.15">
      <c r="C109" s="14"/>
      <c r="D109" s="14"/>
      <c r="E109" s="14"/>
      <c r="F109" s="18"/>
      <c r="G109" s="19"/>
      <c r="H109" s="19"/>
      <c r="I109" s="19"/>
      <c r="J109" s="19"/>
      <c r="K109" s="19"/>
      <c r="L109" s="20"/>
      <c r="M109" s="18" t="s">
        <v>185</v>
      </c>
      <c r="N109" s="19"/>
      <c r="O109" s="19"/>
      <c r="P109" s="19"/>
      <c r="Q109" s="19"/>
      <c r="R109" s="19"/>
      <c r="S109" s="19"/>
      <c r="T109" s="19"/>
      <c r="U109" s="19"/>
      <c r="V109" s="19"/>
      <c r="W109" s="19"/>
      <c r="X109" s="19"/>
      <c r="Y109" s="19"/>
      <c r="Z109" s="19"/>
      <c r="AA109" s="19"/>
      <c r="AB109" s="19"/>
      <c r="AC109" s="19"/>
      <c r="AD109" s="19"/>
      <c r="AE109" s="19"/>
      <c r="AF109" s="19"/>
      <c r="AG109" s="19"/>
      <c r="AH109" s="20"/>
      <c r="AI109" s="14"/>
      <c r="AJ109" s="14"/>
    </row>
    <row r="110" spans="3:36" ht="11.25" customHeight="1" x14ac:dyDescent="0.15">
      <c r="C110" s="14"/>
      <c r="D110" s="14"/>
      <c r="E110" s="14"/>
      <c r="F110" s="21" t="s">
        <v>88</v>
      </c>
      <c r="G110" s="24"/>
      <c r="H110" s="24"/>
      <c r="I110" s="24"/>
      <c r="J110" s="24"/>
      <c r="K110" s="24"/>
      <c r="L110" s="25"/>
      <c r="M110" s="21" t="s">
        <v>85</v>
      </c>
      <c r="N110" s="24"/>
      <c r="O110" s="24"/>
      <c r="P110" s="24"/>
      <c r="Q110" s="24"/>
      <c r="R110" s="24"/>
      <c r="S110" s="24"/>
      <c r="T110" s="24"/>
      <c r="U110" s="24"/>
      <c r="V110" s="24"/>
      <c r="W110" s="24"/>
      <c r="X110" s="24"/>
      <c r="Y110" s="24"/>
      <c r="Z110" s="24"/>
      <c r="AA110" s="24"/>
      <c r="AB110" s="24"/>
      <c r="AC110" s="24"/>
      <c r="AD110" s="24"/>
      <c r="AE110" s="24"/>
      <c r="AF110" s="24"/>
      <c r="AG110" s="24"/>
      <c r="AH110" s="25"/>
      <c r="AI110" s="14"/>
      <c r="AJ110" s="14"/>
    </row>
    <row r="111" spans="3:36" ht="11.25" customHeight="1" x14ac:dyDescent="0.15">
      <c r="C111" s="14"/>
      <c r="D111" s="14"/>
      <c r="E111" s="14"/>
      <c r="F111" s="18"/>
      <c r="G111" s="19"/>
      <c r="H111" s="19"/>
      <c r="I111" s="19"/>
      <c r="J111" s="19"/>
      <c r="K111" s="19"/>
      <c r="L111" s="20"/>
      <c r="M111" s="18"/>
      <c r="N111" s="19"/>
      <c r="O111" s="19"/>
      <c r="P111" s="19"/>
      <c r="Q111" s="19"/>
      <c r="R111" s="19"/>
      <c r="S111" s="19"/>
      <c r="T111" s="19"/>
      <c r="U111" s="19"/>
      <c r="V111" s="19"/>
      <c r="W111" s="19"/>
      <c r="X111" s="19"/>
      <c r="Y111" s="19"/>
      <c r="Z111" s="19"/>
      <c r="AA111" s="19"/>
      <c r="AB111" s="19"/>
      <c r="AC111" s="19"/>
      <c r="AD111" s="19"/>
      <c r="AE111" s="19"/>
      <c r="AF111" s="19"/>
      <c r="AG111" s="19"/>
      <c r="AH111" s="20"/>
      <c r="AI111" s="14"/>
      <c r="AJ111" s="14"/>
    </row>
    <row r="112" spans="3:36" ht="11.25" customHeight="1" x14ac:dyDescent="0.15">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spans="3:36" ht="14.25" customHeight="1" x14ac:dyDescent="0.15">
      <c r="E113" s="26" t="str">
        <f>$D$98&amp;"2."</f>
        <v>5.2.4.2.</v>
      </c>
      <c r="F113" s="15" t="s">
        <v>89</v>
      </c>
    </row>
    <row r="114" spans="3:36" ht="11.25" customHeight="1" x14ac:dyDescent="0.15">
      <c r="C114" s="14"/>
      <c r="D114" s="14"/>
      <c r="E114" s="26"/>
      <c r="F114" s="15" t="s">
        <v>90</v>
      </c>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spans="3:36" ht="11.25" customHeight="1" x14ac:dyDescent="0.15">
      <c r="C115" s="14"/>
      <c r="D115" s="14"/>
      <c r="E115" s="26"/>
      <c r="F115" s="15" t="s">
        <v>91</v>
      </c>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row>
    <row r="116" spans="3:36" ht="11.25" customHeight="1" x14ac:dyDescent="0.15">
      <c r="C116" s="14"/>
      <c r="D116" s="14"/>
      <c r="E116" s="26"/>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row>
    <row r="117" spans="3:36" ht="11.25" customHeight="1" x14ac:dyDescent="0.15">
      <c r="C117" s="26"/>
      <c r="D117" s="26"/>
      <c r="F117" s="46" t="s">
        <v>92</v>
      </c>
      <c r="G117" s="47"/>
      <c r="H117" s="47"/>
      <c r="I117" s="48"/>
      <c r="J117" s="46" t="s">
        <v>93</v>
      </c>
      <c r="K117" s="47"/>
      <c r="L117" s="47"/>
      <c r="M117" s="47"/>
      <c r="N117" s="48"/>
      <c r="O117" s="46" t="s">
        <v>94</v>
      </c>
      <c r="P117" s="47"/>
      <c r="Q117" s="47"/>
      <c r="R117" s="46" t="s">
        <v>56</v>
      </c>
      <c r="S117" s="47"/>
      <c r="T117" s="47"/>
      <c r="U117" s="47"/>
      <c r="V117" s="38"/>
      <c r="W117" s="47" t="s">
        <v>73</v>
      </c>
      <c r="X117" s="47"/>
      <c r="Y117" s="47"/>
      <c r="Z117" s="47"/>
      <c r="AA117" s="47"/>
      <c r="AB117" s="47"/>
      <c r="AC117" s="47"/>
      <c r="AD117" s="47"/>
      <c r="AE117" s="47"/>
      <c r="AF117" s="47"/>
      <c r="AG117" s="47"/>
      <c r="AH117" s="47"/>
      <c r="AI117" s="48"/>
      <c r="AJ117" s="14"/>
    </row>
    <row r="118" spans="3:36" ht="11.25" customHeight="1" x14ac:dyDescent="0.15">
      <c r="C118" s="26"/>
      <c r="D118" s="26"/>
      <c r="F118" s="49"/>
      <c r="G118" s="50"/>
      <c r="H118" s="50"/>
      <c r="I118" s="50"/>
      <c r="J118" s="49"/>
      <c r="K118" s="50"/>
      <c r="L118" s="50"/>
      <c r="M118" s="50"/>
      <c r="N118" s="51"/>
      <c r="O118" s="49" t="s">
        <v>95</v>
      </c>
      <c r="P118" s="50"/>
      <c r="Q118" s="50"/>
      <c r="R118" s="49"/>
      <c r="S118" s="50"/>
      <c r="T118" s="50"/>
      <c r="U118" s="50"/>
      <c r="V118" s="52"/>
      <c r="W118" s="50"/>
      <c r="X118" s="50"/>
      <c r="Y118" s="50"/>
      <c r="Z118" s="50"/>
      <c r="AA118" s="50"/>
      <c r="AB118" s="50"/>
      <c r="AC118" s="50"/>
      <c r="AD118" s="50"/>
      <c r="AE118" s="50"/>
      <c r="AF118" s="50"/>
      <c r="AG118" s="50"/>
      <c r="AH118" s="50"/>
      <c r="AI118" s="51"/>
      <c r="AJ118" s="14"/>
    </row>
    <row r="119" spans="3:36" ht="11.25" customHeight="1" x14ac:dyDescent="0.15">
      <c r="C119" s="26"/>
      <c r="D119" s="26"/>
      <c r="F119" s="16" t="s">
        <v>84</v>
      </c>
      <c r="G119" s="14"/>
      <c r="H119" s="14"/>
      <c r="I119" s="14"/>
      <c r="J119" s="18" t="s">
        <v>96</v>
      </c>
      <c r="K119" s="19"/>
      <c r="L119" s="19"/>
      <c r="M119" s="19"/>
      <c r="N119" s="20"/>
      <c r="O119" s="18" t="s">
        <v>97</v>
      </c>
      <c r="P119" s="19"/>
      <c r="Q119" s="53"/>
      <c r="R119" s="18" t="s">
        <v>98</v>
      </c>
      <c r="S119" s="19"/>
      <c r="T119" s="19"/>
      <c r="U119" s="19"/>
      <c r="V119" s="54"/>
      <c r="W119" s="55" t="s">
        <v>99</v>
      </c>
      <c r="X119" s="19"/>
      <c r="Y119" s="19"/>
      <c r="Z119" s="19"/>
      <c r="AA119" s="19"/>
      <c r="AB119" s="19"/>
      <c r="AC119" s="19"/>
      <c r="AD119" s="19"/>
      <c r="AE119" s="19"/>
      <c r="AF119" s="19"/>
      <c r="AG119" s="19"/>
      <c r="AH119" s="19"/>
      <c r="AI119" s="20"/>
      <c r="AJ119" s="14"/>
    </row>
    <row r="120" spans="3:36" ht="11.25" customHeight="1" x14ac:dyDescent="0.15">
      <c r="C120" s="26"/>
      <c r="D120" s="26"/>
      <c r="F120" s="16"/>
      <c r="G120" s="14"/>
      <c r="H120" s="14"/>
      <c r="I120" s="14"/>
      <c r="J120" s="30" t="s">
        <v>100</v>
      </c>
      <c r="K120" s="31"/>
      <c r="L120" s="31"/>
      <c r="M120" s="31"/>
      <c r="N120" s="32"/>
      <c r="O120" s="30" t="s">
        <v>97</v>
      </c>
      <c r="P120" s="31"/>
      <c r="Q120" s="33"/>
      <c r="R120" s="30" t="s">
        <v>101</v>
      </c>
      <c r="S120" s="31"/>
      <c r="T120" s="31"/>
      <c r="U120" s="31"/>
      <c r="V120" s="34"/>
      <c r="W120" s="55" t="s">
        <v>102</v>
      </c>
      <c r="X120" s="31"/>
      <c r="Y120" s="31"/>
      <c r="Z120" s="31"/>
      <c r="AA120" s="31"/>
      <c r="AB120" s="31"/>
      <c r="AC120" s="31"/>
      <c r="AD120" s="31"/>
      <c r="AE120" s="31"/>
      <c r="AF120" s="31"/>
      <c r="AG120" s="31"/>
      <c r="AH120" s="31"/>
      <c r="AI120" s="32"/>
      <c r="AJ120" s="14"/>
    </row>
    <row r="121" spans="3:36" ht="11.25" customHeight="1" x14ac:dyDescent="0.15">
      <c r="C121" s="26"/>
      <c r="D121" s="26"/>
      <c r="F121" s="16"/>
      <c r="G121" s="14"/>
      <c r="H121" s="14"/>
      <c r="I121" s="14"/>
      <c r="J121" s="21" t="s">
        <v>103</v>
      </c>
      <c r="K121" s="24"/>
      <c r="L121" s="24"/>
      <c r="M121" s="24"/>
      <c r="N121" s="25"/>
      <c r="O121" s="21" t="s">
        <v>97</v>
      </c>
      <c r="P121" s="24"/>
      <c r="Q121" s="56"/>
      <c r="R121" s="21" t="s">
        <v>101</v>
      </c>
      <c r="S121" s="24"/>
      <c r="T121" s="24"/>
      <c r="U121" s="24"/>
      <c r="V121" s="57"/>
      <c r="W121" s="58" t="s">
        <v>104</v>
      </c>
      <c r="X121" s="24"/>
      <c r="Y121" s="24"/>
      <c r="Z121" s="24"/>
      <c r="AA121" s="24"/>
      <c r="AB121" s="24"/>
      <c r="AC121" s="24"/>
      <c r="AD121" s="24"/>
      <c r="AE121" s="24"/>
      <c r="AF121" s="24"/>
      <c r="AG121" s="24"/>
      <c r="AH121" s="24"/>
      <c r="AI121" s="25"/>
      <c r="AJ121" s="14"/>
    </row>
    <row r="122" spans="3:36" ht="11.25" customHeight="1" x14ac:dyDescent="0.15">
      <c r="C122" s="26"/>
      <c r="D122" s="26"/>
      <c r="F122" s="16"/>
      <c r="G122" s="14"/>
      <c r="H122" s="14"/>
      <c r="I122" s="14"/>
      <c r="J122" s="18" t="s">
        <v>105</v>
      </c>
      <c r="K122" s="19"/>
      <c r="L122" s="19"/>
      <c r="M122" s="19"/>
      <c r="N122" s="20"/>
      <c r="O122" s="18"/>
      <c r="P122" s="19"/>
      <c r="Q122" s="53"/>
      <c r="R122" s="18"/>
      <c r="S122" s="19"/>
      <c r="T122" s="19"/>
      <c r="U122" s="19"/>
      <c r="V122" s="54"/>
      <c r="W122" s="55"/>
      <c r="X122" s="19"/>
      <c r="Y122" s="19"/>
      <c r="Z122" s="19"/>
      <c r="AA122" s="19"/>
      <c r="AB122" s="19"/>
      <c r="AC122" s="19"/>
      <c r="AD122" s="19"/>
      <c r="AE122" s="19"/>
      <c r="AF122" s="19"/>
      <c r="AG122" s="19"/>
      <c r="AH122" s="19"/>
      <c r="AI122" s="20"/>
      <c r="AJ122" s="14"/>
    </row>
    <row r="123" spans="3:36" ht="11.25" customHeight="1" x14ac:dyDescent="0.15">
      <c r="C123" s="26"/>
      <c r="D123" s="26"/>
      <c r="F123" s="16"/>
      <c r="G123" s="14"/>
      <c r="H123" s="14"/>
      <c r="I123" s="14"/>
      <c r="J123" s="16" t="s">
        <v>106</v>
      </c>
      <c r="K123" s="14"/>
      <c r="L123" s="14"/>
      <c r="M123" s="14"/>
      <c r="N123" s="17"/>
      <c r="O123" s="16" t="s">
        <v>97</v>
      </c>
      <c r="P123" s="14"/>
      <c r="R123" s="16" t="s">
        <v>107</v>
      </c>
      <c r="S123" s="14"/>
      <c r="T123" s="14"/>
      <c r="U123" s="14"/>
      <c r="V123" s="59"/>
      <c r="W123" s="60" t="s">
        <v>108</v>
      </c>
      <c r="X123" s="14"/>
      <c r="Y123" s="14"/>
      <c r="Z123" s="14"/>
      <c r="AA123" s="14"/>
      <c r="AB123" s="14"/>
      <c r="AC123" s="14"/>
      <c r="AD123" s="14"/>
      <c r="AE123" s="14"/>
      <c r="AF123" s="14"/>
      <c r="AG123" s="14"/>
      <c r="AH123" s="14"/>
      <c r="AI123" s="17"/>
      <c r="AJ123" s="14"/>
    </row>
    <row r="124" spans="3:36" ht="11.25" customHeight="1" x14ac:dyDescent="0.15">
      <c r="C124" s="26"/>
      <c r="D124" s="26"/>
      <c r="F124" s="21" t="s">
        <v>86</v>
      </c>
      <c r="G124" s="24"/>
      <c r="H124" s="24"/>
      <c r="I124" s="25"/>
      <c r="J124" s="21" t="s">
        <v>109</v>
      </c>
      <c r="K124" s="24"/>
      <c r="L124" s="24"/>
      <c r="M124" s="24"/>
      <c r="N124" s="25"/>
      <c r="O124" s="21" t="s">
        <v>110</v>
      </c>
      <c r="P124" s="24"/>
      <c r="Q124" s="57"/>
      <c r="R124" s="21" t="s">
        <v>111</v>
      </c>
      <c r="S124" s="24"/>
      <c r="T124" s="24"/>
      <c r="U124" s="24"/>
      <c r="V124" s="57"/>
      <c r="W124" s="58" t="s">
        <v>200</v>
      </c>
      <c r="X124" s="24"/>
      <c r="Y124" s="24"/>
      <c r="Z124" s="24"/>
      <c r="AA124" s="24"/>
      <c r="AB124" s="24"/>
      <c r="AC124" s="24"/>
      <c r="AD124" s="24"/>
      <c r="AE124" s="24"/>
      <c r="AF124" s="24"/>
      <c r="AG124" s="24"/>
      <c r="AH124" s="24"/>
      <c r="AI124" s="25"/>
      <c r="AJ124" s="14"/>
    </row>
    <row r="125" spans="3:36" ht="11.25" customHeight="1" x14ac:dyDescent="0.15">
      <c r="C125" s="26"/>
      <c r="D125" s="26"/>
      <c r="F125" s="16"/>
      <c r="G125" s="74"/>
      <c r="H125" s="74"/>
      <c r="I125" s="17"/>
      <c r="J125" s="18"/>
      <c r="K125" s="19"/>
      <c r="L125" s="19"/>
      <c r="M125" s="19"/>
      <c r="N125" s="20"/>
      <c r="O125" s="18"/>
      <c r="P125" s="19"/>
      <c r="Q125" s="54"/>
      <c r="R125" s="18"/>
      <c r="S125" s="19"/>
      <c r="T125" s="19"/>
      <c r="U125" s="19"/>
      <c r="V125" s="54"/>
      <c r="W125" s="55" t="s">
        <v>114</v>
      </c>
      <c r="X125" s="19"/>
      <c r="Y125" s="19"/>
      <c r="Z125" s="19"/>
      <c r="AA125" s="19"/>
      <c r="AB125" s="19"/>
      <c r="AC125" s="19"/>
      <c r="AD125" s="19"/>
      <c r="AE125" s="19"/>
      <c r="AF125" s="19"/>
      <c r="AG125" s="19"/>
      <c r="AH125" s="19"/>
      <c r="AI125" s="20"/>
      <c r="AJ125" s="14"/>
    </row>
    <row r="126" spans="3:36" ht="11.25" customHeight="1" x14ac:dyDescent="0.15">
      <c r="C126" s="26"/>
      <c r="D126" s="26"/>
      <c r="F126" s="16"/>
      <c r="G126" s="14"/>
      <c r="H126" s="14"/>
      <c r="I126" s="17"/>
      <c r="J126" s="61" t="s">
        <v>112</v>
      </c>
      <c r="K126" s="62"/>
      <c r="L126" s="62"/>
      <c r="M126" s="62"/>
      <c r="N126" s="63"/>
      <c r="O126" s="61" t="s">
        <v>110</v>
      </c>
      <c r="P126" s="62"/>
      <c r="Q126" s="64"/>
      <c r="R126" s="61" t="s">
        <v>113</v>
      </c>
      <c r="S126" s="62"/>
      <c r="T126" s="62"/>
      <c r="U126" s="62"/>
      <c r="V126" s="65"/>
      <c r="W126" s="66" t="s">
        <v>194</v>
      </c>
      <c r="X126" s="62"/>
      <c r="Y126" s="62"/>
      <c r="Z126" s="62"/>
      <c r="AA126" s="62"/>
      <c r="AB126" s="62"/>
      <c r="AC126" s="62"/>
      <c r="AD126" s="62"/>
      <c r="AE126" s="62"/>
      <c r="AF126" s="62"/>
      <c r="AG126" s="62"/>
      <c r="AH126" s="62"/>
      <c r="AI126" s="63"/>
      <c r="AJ126" s="14"/>
    </row>
    <row r="127" spans="3:36" ht="11.25" customHeight="1" x14ac:dyDescent="0.15">
      <c r="C127" s="26"/>
      <c r="D127" s="26"/>
      <c r="F127" s="16"/>
      <c r="G127" s="14"/>
      <c r="H127" s="14"/>
      <c r="I127" s="17"/>
      <c r="J127" s="61"/>
      <c r="K127" s="62"/>
      <c r="L127" s="62"/>
      <c r="M127" s="62"/>
      <c r="N127" s="63"/>
      <c r="O127" s="61"/>
      <c r="P127" s="62"/>
      <c r="Q127" s="64"/>
      <c r="R127" s="61"/>
      <c r="S127" s="62"/>
      <c r="T127" s="62"/>
      <c r="U127" s="62"/>
      <c r="V127" s="65"/>
      <c r="W127" s="66" t="s">
        <v>114</v>
      </c>
      <c r="X127" s="62"/>
      <c r="Y127" s="62"/>
      <c r="Z127" s="62"/>
      <c r="AA127" s="62"/>
      <c r="AB127" s="62"/>
      <c r="AC127" s="62"/>
      <c r="AD127" s="62"/>
      <c r="AE127" s="62"/>
      <c r="AF127" s="62"/>
      <c r="AG127" s="62"/>
      <c r="AH127" s="62"/>
      <c r="AI127" s="63"/>
      <c r="AJ127" s="14"/>
    </row>
    <row r="128" spans="3:36" ht="11.25" customHeight="1" x14ac:dyDescent="0.15">
      <c r="C128" s="26"/>
      <c r="D128" s="26"/>
      <c r="F128" s="21" t="s">
        <v>115</v>
      </c>
      <c r="G128" s="24"/>
      <c r="H128" s="24"/>
      <c r="I128" s="25"/>
      <c r="J128" s="21" t="s">
        <v>195</v>
      </c>
      <c r="K128" s="24"/>
      <c r="L128" s="24"/>
      <c r="M128" s="24"/>
      <c r="N128" s="25"/>
      <c r="O128" s="21" t="s">
        <v>110</v>
      </c>
      <c r="P128" s="24"/>
      <c r="Q128" s="57"/>
      <c r="R128" s="21" t="s">
        <v>116</v>
      </c>
      <c r="S128" s="24"/>
      <c r="T128" s="24"/>
      <c r="U128" s="24"/>
      <c r="V128" s="57"/>
      <c r="W128" s="58" t="s">
        <v>196</v>
      </c>
      <c r="X128" s="24"/>
      <c r="Y128" s="24"/>
      <c r="Z128" s="24"/>
      <c r="AA128" s="24"/>
      <c r="AB128" s="24"/>
      <c r="AC128" s="24"/>
      <c r="AD128" s="24"/>
      <c r="AE128" s="24"/>
      <c r="AF128" s="24"/>
      <c r="AG128" s="24"/>
      <c r="AH128" s="24"/>
      <c r="AI128" s="25"/>
      <c r="AJ128" s="14"/>
    </row>
    <row r="129" spans="3:47" ht="11.25" customHeight="1" x14ac:dyDescent="0.15">
      <c r="C129" s="26"/>
      <c r="D129" s="26"/>
      <c r="F129" s="16"/>
      <c r="G129" s="74"/>
      <c r="H129" s="74"/>
      <c r="I129" s="17"/>
      <c r="J129" s="18"/>
      <c r="K129" s="19"/>
      <c r="L129" s="19"/>
      <c r="M129" s="19"/>
      <c r="N129" s="20"/>
      <c r="O129" s="18"/>
      <c r="P129" s="19"/>
      <c r="Q129" s="54"/>
      <c r="R129" s="18"/>
      <c r="S129" s="19"/>
      <c r="T129" s="19"/>
      <c r="U129" s="19"/>
      <c r="V129" s="54"/>
      <c r="W129" s="55" t="s">
        <v>197</v>
      </c>
      <c r="X129" s="19"/>
      <c r="Y129" s="19"/>
      <c r="Z129" s="19"/>
      <c r="AA129" s="19"/>
      <c r="AB129" s="19"/>
      <c r="AC129" s="19"/>
      <c r="AD129" s="19"/>
      <c r="AE129" s="19"/>
      <c r="AF129" s="19"/>
      <c r="AG129" s="19"/>
      <c r="AH129" s="19"/>
      <c r="AI129" s="20"/>
      <c r="AJ129" s="14"/>
    </row>
    <row r="130" spans="3:47" ht="11.25" customHeight="1" x14ac:dyDescent="0.15">
      <c r="C130" s="26"/>
      <c r="D130" s="26"/>
      <c r="F130" s="16"/>
      <c r="G130" s="14"/>
      <c r="H130" s="14"/>
      <c r="I130" s="17"/>
      <c r="J130" s="21" t="s">
        <v>117</v>
      </c>
      <c r="K130" s="24"/>
      <c r="L130" s="24"/>
      <c r="M130" s="24"/>
      <c r="N130" s="25"/>
      <c r="O130" s="21" t="s">
        <v>110</v>
      </c>
      <c r="P130" s="24"/>
      <c r="Q130" s="56"/>
      <c r="R130" s="21" t="s">
        <v>118</v>
      </c>
      <c r="S130" s="24"/>
      <c r="T130" s="24"/>
      <c r="U130" s="24"/>
      <c r="V130" s="57"/>
      <c r="W130" s="58" t="s">
        <v>119</v>
      </c>
      <c r="X130" s="24"/>
      <c r="Y130" s="24"/>
      <c r="Z130" s="24"/>
      <c r="AA130" s="24"/>
      <c r="AB130" s="24"/>
      <c r="AC130" s="24"/>
      <c r="AD130" s="24"/>
      <c r="AE130" s="24"/>
      <c r="AF130" s="24"/>
      <c r="AG130" s="24"/>
      <c r="AH130" s="24"/>
      <c r="AI130" s="25"/>
      <c r="AJ130" s="14"/>
    </row>
    <row r="131" spans="3:47" ht="11.25" customHeight="1" x14ac:dyDescent="0.15">
      <c r="C131" s="26"/>
      <c r="D131" s="26"/>
      <c r="F131" s="16"/>
      <c r="G131" s="14"/>
      <c r="H131" s="14"/>
      <c r="I131" s="17"/>
      <c r="J131" s="18" t="s">
        <v>120</v>
      </c>
      <c r="K131" s="19"/>
      <c r="L131" s="19"/>
      <c r="M131" s="19"/>
      <c r="N131" s="20"/>
      <c r="O131" s="18"/>
      <c r="P131" s="19"/>
      <c r="Q131" s="53"/>
      <c r="R131" s="18"/>
      <c r="S131" s="19"/>
      <c r="T131" s="19"/>
      <c r="U131" s="19"/>
      <c r="V131" s="54"/>
      <c r="W131" s="55" t="s">
        <v>121</v>
      </c>
      <c r="X131" s="19"/>
      <c r="Y131" s="19"/>
      <c r="Z131" s="19"/>
      <c r="AA131" s="19"/>
      <c r="AB131" s="19"/>
      <c r="AC131" s="19"/>
      <c r="AD131" s="19"/>
      <c r="AE131" s="19"/>
      <c r="AF131" s="19"/>
      <c r="AG131" s="19"/>
      <c r="AH131" s="19"/>
      <c r="AI131" s="20"/>
      <c r="AJ131" s="14"/>
    </row>
    <row r="132" spans="3:47" ht="11.25" customHeight="1" x14ac:dyDescent="0.15">
      <c r="C132" s="26"/>
      <c r="D132" s="26"/>
      <c r="F132" s="16"/>
      <c r="G132" s="14"/>
      <c r="H132" s="14"/>
      <c r="I132" s="17"/>
      <c r="J132" s="21" t="s">
        <v>122</v>
      </c>
      <c r="K132" s="24"/>
      <c r="L132" s="24"/>
      <c r="M132" s="24"/>
      <c r="N132" s="25"/>
      <c r="O132" s="21" t="s">
        <v>110</v>
      </c>
      <c r="P132" s="24"/>
      <c r="Q132" s="56"/>
      <c r="R132" s="67" t="s">
        <v>101</v>
      </c>
      <c r="S132" s="24"/>
      <c r="T132" s="24"/>
      <c r="U132" s="24"/>
      <c r="V132" s="57"/>
      <c r="W132" s="58" t="s">
        <v>123</v>
      </c>
      <c r="X132" s="24"/>
      <c r="Y132" s="24"/>
      <c r="Z132" s="24"/>
      <c r="AA132" s="24"/>
      <c r="AB132" s="24"/>
      <c r="AC132" s="24"/>
      <c r="AD132" s="24"/>
      <c r="AE132" s="24"/>
      <c r="AF132" s="24"/>
      <c r="AG132" s="24"/>
      <c r="AH132" s="24"/>
      <c r="AI132" s="25"/>
      <c r="AJ132" s="14"/>
    </row>
    <row r="133" spans="3:47" ht="11.25" customHeight="1" x14ac:dyDescent="0.15">
      <c r="C133" s="26"/>
      <c r="D133" s="26"/>
      <c r="F133" s="16"/>
      <c r="G133" s="14"/>
      <c r="H133" s="14"/>
      <c r="I133" s="17"/>
      <c r="J133" s="18"/>
      <c r="K133" s="19"/>
      <c r="L133" s="19"/>
      <c r="M133" s="19"/>
      <c r="N133" s="20"/>
      <c r="O133" s="18"/>
      <c r="P133" s="19"/>
      <c r="Q133" s="53"/>
      <c r="R133" s="68"/>
      <c r="S133" s="19"/>
      <c r="T133" s="19"/>
      <c r="U133" s="19"/>
      <c r="V133" s="54"/>
      <c r="W133" s="55"/>
      <c r="X133" s="19"/>
      <c r="Y133" s="19"/>
      <c r="Z133" s="19"/>
      <c r="AA133" s="19"/>
      <c r="AB133" s="19"/>
      <c r="AC133" s="19"/>
      <c r="AD133" s="19"/>
      <c r="AE133" s="19"/>
      <c r="AF133" s="19"/>
      <c r="AG133" s="19"/>
      <c r="AH133" s="19"/>
      <c r="AI133" s="20"/>
      <c r="AJ133" s="14"/>
    </row>
    <row r="134" spans="3:47" ht="11.25" customHeight="1" x14ac:dyDescent="0.15">
      <c r="C134" s="26"/>
      <c r="D134" s="26"/>
      <c r="F134" s="16"/>
      <c r="G134" s="14"/>
      <c r="H134" s="14"/>
      <c r="I134" s="17"/>
      <c r="J134" s="21" t="s">
        <v>124</v>
      </c>
      <c r="K134" s="24"/>
      <c r="L134" s="24"/>
      <c r="M134" s="24"/>
      <c r="N134" s="25"/>
      <c r="O134" s="21" t="s">
        <v>110</v>
      </c>
      <c r="P134" s="24"/>
      <c r="Q134" s="56"/>
      <c r="R134" s="21" t="s">
        <v>125</v>
      </c>
      <c r="S134" s="24"/>
      <c r="T134" s="24"/>
      <c r="U134" s="24"/>
      <c r="V134" s="57"/>
      <c r="W134" s="58" t="s">
        <v>126</v>
      </c>
      <c r="X134" s="24"/>
      <c r="Y134" s="24"/>
      <c r="Z134" s="24"/>
      <c r="AA134" s="24"/>
      <c r="AB134" s="24"/>
      <c r="AC134" s="24"/>
      <c r="AD134" s="24"/>
      <c r="AE134" s="24"/>
      <c r="AF134" s="24"/>
      <c r="AG134" s="24"/>
      <c r="AH134" s="24"/>
      <c r="AI134" s="25"/>
      <c r="AJ134" s="14"/>
      <c r="AL134" s="43"/>
      <c r="AU134" s="43"/>
    </row>
    <row r="135" spans="3:47" ht="11.25" customHeight="1" x14ac:dyDescent="0.15">
      <c r="C135" s="26"/>
      <c r="D135" s="26"/>
      <c r="F135" s="18"/>
      <c r="G135" s="19"/>
      <c r="H135" s="19"/>
      <c r="I135" s="20"/>
      <c r="J135" s="18"/>
      <c r="K135" s="19"/>
      <c r="L135" s="19"/>
      <c r="M135" s="19"/>
      <c r="N135" s="20"/>
      <c r="O135" s="18"/>
      <c r="P135" s="19"/>
      <c r="Q135" s="53"/>
      <c r="R135" s="18" t="s">
        <v>127</v>
      </c>
      <c r="S135" s="19"/>
      <c r="T135" s="19"/>
      <c r="U135" s="19"/>
      <c r="V135" s="20"/>
      <c r="W135" s="55"/>
      <c r="X135" s="19"/>
      <c r="Y135" s="19"/>
      <c r="Z135" s="19"/>
      <c r="AA135" s="19"/>
      <c r="AB135" s="19"/>
      <c r="AC135" s="19"/>
      <c r="AD135" s="19"/>
      <c r="AE135" s="19"/>
      <c r="AF135" s="19"/>
      <c r="AG135" s="19"/>
      <c r="AH135" s="19"/>
      <c r="AI135" s="20"/>
      <c r="AJ135" s="14"/>
    </row>
    <row r="136" spans="3:47" ht="11.25" customHeight="1" x14ac:dyDescent="0.15">
      <c r="C136" s="26"/>
      <c r="D136" s="26"/>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spans="3:47" ht="11.25" customHeight="1" x14ac:dyDescent="0.15">
      <c r="C137" s="26"/>
      <c r="D137" s="26"/>
      <c r="F137" s="14" t="s">
        <v>128</v>
      </c>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spans="3:47" ht="11.25" customHeight="1" x14ac:dyDescent="0.15">
      <c r="C138" s="26"/>
      <c r="D138" s="26"/>
      <c r="F138" s="14" t="s">
        <v>129</v>
      </c>
    </row>
    <row r="139" spans="3:47" ht="11.25" customHeight="1" x14ac:dyDescent="0.15">
      <c r="C139" s="26"/>
      <c r="D139" s="26"/>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row>
    <row r="140" spans="3:47" ht="11.25" customHeight="1" x14ac:dyDescent="0.15">
      <c r="C140" s="26"/>
      <c r="D140" s="26"/>
      <c r="F140" s="58" t="s">
        <v>130</v>
      </c>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7"/>
      <c r="AF140" s="14"/>
      <c r="AG140" s="14"/>
      <c r="AH140" s="14"/>
    </row>
    <row r="141" spans="3:47" ht="11.25" customHeight="1" x14ac:dyDescent="0.15">
      <c r="C141" s="26"/>
      <c r="D141" s="26"/>
      <c r="F141" s="60"/>
      <c r="G141" s="15" t="s">
        <v>131</v>
      </c>
      <c r="AE141" s="59"/>
      <c r="AF141" s="14"/>
      <c r="AG141" s="14"/>
      <c r="AH141" s="14"/>
    </row>
    <row r="142" spans="3:47" ht="11.25" customHeight="1" x14ac:dyDescent="0.15">
      <c r="C142" s="26"/>
      <c r="D142" s="26"/>
      <c r="F142" s="60"/>
      <c r="G142" s="15" t="s">
        <v>132</v>
      </c>
      <c r="AE142" s="59"/>
      <c r="AF142" s="14"/>
      <c r="AG142" s="14"/>
      <c r="AH142" s="14"/>
    </row>
    <row r="143" spans="3:47" ht="11.25" customHeight="1" x14ac:dyDescent="0.15">
      <c r="C143" s="26"/>
      <c r="D143" s="26"/>
      <c r="F143" s="60"/>
      <c r="H143" s="15" t="s">
        <v>133</v>
      </c>
      <c r="AE143" s="59"/>
      <c r="AF143" s="14"/>
      <c r="AG143" s="14"/>
      <c r="AH143" s="14"/>
      <c r="AI143" s="43"/>
    </row>
    <row r="144" spans="3:47" ht="11.25" customHeight="1" x14ac:dyDescent="0.15">
      <c r="C144" s="26"/>
      <c r="D144" s="26"/>
      <c r="F144" s="60"/>
      <c r="H144" s="15" t="s">
        <v>134</v>
      </c>
      <c r="AE144" s="59"/>
      <c r="AF144" s="14"/>
      <c r="AG144" s="14"/>
      <c r="AH144" s="14"/>
    </row>
    <row r="145" spans="3:37" ht="11.25" customHeight="1" x14ac:dyDescent="0.15">
      <c r="C145" s="26"/>
      <c r="D145" s="26"/>
      <c r="F145" s="60"/>
      <c r="H145" s="15" t="s">
        <v>135</v>
      </c>
      <c r="AE145" s="59"/>
      <c r="AF145" s="14"/>
      <c r="AG145" s="14"/>
      <c r="AH145" s="14"/>
    </row>
    <row r="146" spans="3:37" ht="11.25" customHeight="1" x14ac:dyDescent="0.15">
      <c r="C146" s="26"/>
      <c r="D146" s="26"/>
      <c r="F146" s="60"/>
      <c r="G146" s="15" t="s">
        <v>136</v>
      </c>
      <c r="AE146" s="59"/>
      <c r="AF146" s="14"/>
      <c r="AG146" s="14"/>
      <c r="AH146" s="14"/>
    </row>
    <row r="147" spans="3:37" ht="11.25" customHeight="1" x14ac:dyDescent="0.15">
      <c r="C147" s="26"/>
      <c r="D147" s="26"/>
      <c r="F147" s="55" t="s">
        <v>137</v>
      </c>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4"/>
      <c r="AF147" s="14"/>
      <c r="AG147" s="14"/>
      <c r="AH147" s="14"/>
    </row>
    <row r="148" spans="3:37" ht="11.25" customHeight="1" x14ac:dyDescent="0.15">
      <c r="C148" s="26"/>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row>
    <row r="149" spans="3:37" ht="14.25" customHeight="1" x14ac:dyDescent="0.15">
      <c r="D149" s="26" t="str">
        <f>$C$7&amp;"5."</f>
        <v>5.2.5.</v>
      </c>
      <c r="E149" s="15" t="s">
        <v>138</v>
      </c>
    </row>
    <row r="150" spans="3:37" ht="11.25" customHeight="1" x14ac:dyDescent="0.15">
      <c r="C150" s="14"/>
      <c r="D150" s="26"/>
      <c r="E150" s="15" t="s">
        <v>139</v>
      </c>
    </row>
    <row r="151" spans="3:37" ht="11.25" customHeight="1" x14ac:dyDescent="0.15">
      <c r="C151" s="14"/>
      <c r="D151" s="26"/>
      <c r="E151" s="15" t="s">
        <v>140</v>
      </c>
    </row>
    <row r="152" spans="3:37" ht="11.25" customHeight="1" x14ac:dyDescent="0.15">
      <c r="C152" s="14"/>
      <c r="D152" s="26"/>
      <c r="E152" s="15" t="s">
        <v>141</v>
      </c>
    </row>
    <row r="154" spans="3:37" ht="14.25" customHeight="1" x14ac:dyDescent="0.15">
      <c r="D154" s="26" t="str">
        <f>$C$7&amp;"6."</f>
        <v>5.2.6.</v>
      </c>
      <c r="E154" s="15" t="s">
        <v>142</v>
      </c>
    </row>
    <row r="155" spans="3:37" ht="11.25" customHeight="1" x14ac:dyDescent="0.15">
      <c r="D155" s="14"/>
      <c r="E155" s="14" t="s">
        <v>198</v>
      </c>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row>
    <row r="156" spans="3:37" ht="11.25" customHeight="1" x14ac:dyDescent="0.15">
      <c r="D156" s="14"/>
      <c r="E156" s="14" t="s">
        <v>143</v>
      </c>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row>
    <row r="157" spans="3:37" ht="11.25" customHeight="1" x14ac:dyDescent="0.15">
      <c r="D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row>
    <row r="158" spans="3:37" ht="11.25" customHeight="1" x14ac:dyDescent="0.15">
      <c r="D158" s="14"/>
      <c r="E158" s="14"/>
      <c r="F158" s="46" t="s">
        <v>144</v>
      </c>
      <c r="G158" s="47"/>
      <c r="H158" s="47"/>
      <c r="I158" s="46" t="s">
        <v>59</v>
      </c>
      <c r="J158" s="47"/>
      <c r="K158" s="47"/>
      <c r="L158" s="47"/>
      <c r="M158" s="47"/>
      <c r="N158" s="47"/>
      <c r="O158" s="47"/>
      <c r="P158" s="47"/>
      <c r="Q158" s="47"/>
      <c r="R158" s="47"/>
      <c r="S158" s="47"/>
      <c r="T158" s="47"/>
      <c r="U158" s="47"/>
      <c r="V158" s="48"/>
      <c r="W158" s="14"/>
      <c r="X158" s="14"/>
      <c r="Y158" s="14"/>
      <c r="Z158" s="14"/>
      <c r="AA158" s="14"/>
      <c r="AB158" s="14"/>
      <c r="AC158" s="14"/>
      <c r="AD158" s="14"/>
      <c r="AE158" s="14"/>
      <c r="AF158" s="14"/>
      <c r="AG158" s="14"/>
      <c r="AH158" s="14"/>
      <c r="AI158" s="14"/>
    </row>
    <row r="159" spans="3:37" ht="11.25" customHeight="1" x14ac:dyDescent="0.15">
      <c r="D159" s="14"/>
      <c r="E159" s="14"/>
      <c r="F159" s="30" t="s">
        <v>145</v>
      </c>
      <c r="G159" s="31"/>
      <c r="H159" s="33"/>
      <c r="I159" s="30" t="s">
        <v>146</v>
      </c>
      <c r="J159" s="31"/>
      <c r="K159" s="31"/>
      <c r="L159" s="31"/>
      <c r="M159" s="31"/>
      <c r="N159" s="31"/>
      <c r="O159" s="31"/>
      <c r="P159" s="31"/>
      <c r="Q159" s="31"/>
      <c r="R159" s="31"/>
      <c r="S159" s="31"/>
      <c r="T159" s="31"/>
      <c r="U159" s="31"/>
      <c r="V159" s="32"/>
      <c r="W159" s="14"/>
      <c r="X159" s="14"/>
      <c r="Y159" s="14"/>
      <c r="Z159" s="14"/>
      <c r="AA159" s="14"/>
      <c r="AB159" s="14"/>
      <c r="AC159" s="14"/>
      <c r="AD159" s="14"/>
      <c r="AE159" s="14"/>
      <c r="AF159" s="14"/>
      <c r="AG159" s="14"/>
      <c r="AH159" s="14"/>
      <c r="AI159" s="14"/>
    </row>
    <row r="160" spans="3:37" ht="11.25" customHeight="1" x14ac:dyDescent="0.15">
      <c r="D160" s="14"/>
      <c r="E160" s="14"/>
      <c r="F160" s="18" t="s">
        <v>147</v>
      </c>
      <c r="G160" s="19"/>
      <c r="H160" s="53"/>
      <c r="I160" s="18" t="s">
        <v>148</v>
      </c>
      <c r="J160" s="19"/>
      <c r="K160" s="19"/>
      <c r="L160" s="19"/>
      <c r="M160" s="19"/>
      <c r="N160" s="19"/>
      <c r="O160" s="19"/>
      <c r="P160" s="19"/>
      <c r="Q160" s="19"/>
      <c r="R160" s="19"/>
      <c r="S160" s="19"/>
      <c r="T160" s="19"/>
      <c r="U160" s="19"/>
      <c r="V160" s="20"/>
      <c r="W160" s="14"/>
      <c r="X160" s="14"/>
      <c r="Y160" s="14"/>
      <c r="Z160" s="14"/>
      <c r="AA160" s="14"/>
      <c r="AB160" s="14"/>
      <c r="AC160" s="14"/>
      <c r="AD160" s="14"/>
      <c r="AE160" s="14"/>
      <c r="AF160" s="14"/>
      <c r="AG160" s="14"/>
      <c r="AH160" s="14"/>
      <c r="AI160" s="14"/>
    </row>
    <row r="161" spans="1:57" ht="11.25" customHeight="1" x14ac:dyDescent="0.15">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row>
    <row r="162" spans="1:57" ht="11.25" customHeight="1" x14ac:dyDescent="0.15">
      <c r="D162" s="14"/>
      <c r="E162" s="14" t="s">
        <v>199</v>
      </c>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row>
    <row r="163" spans="1:57" ht="11.25" customHeight="1" x14ac:dyDescent="0.15">
      <c r="D163" s="14"/>
      <c r="E163" s="14" t="s">
        <v>149</v>
      </c>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row>
    <row r="165" spans="1:57" ht="14.25" customHeight="1" x14ac:dyDescent="0.15">
      <c r="D165" s="26" t="str">
        <f>$C$7&amp;"7."</f>
        <v>5.2.7.</v>
      </c>
      <c r="E165" s="15" t="s">
        <v>150</v>
      </c>
    </row>
    <row r="166" spans="1:57" ht="14.25" customHeight="1" x14ac:dyDescent="0.15">
      <c r="E166" s="15" t="s">
        <v>151</v>
      </c>
    </row>
    <row r="167" spans="1:57" ht="14.25" customHeight="1" x14ac:dyDescent="0.15">
      <c r="E167" s="15" t="s">
        <v>152</v>
      </c>
    </row>
    <row r="169" spans="1:57" ht="14.25" customHeight="1" x14ac:dyDescent="0.15">
      <c r="D169" s="26" t="str">
        <f>$C$7&amp;"8."</f>
        <v>5.2.8.</v>
      </c>
      <c r="E169" s="15" t="s">
        <v>153</v>
      </c>
    </row>
    <row r="170" spans="1:57" ht="14.25" customHeight="1" x14ac:dyDescent="0.15">
      <c r="E170" s="15" t="s">
        <v>154</v>
      </c>
    </row>
    <row r="171" spans="1:57" ht="14.25" customHeight="1" x14ac:dyDescent="0.15">
      <c r="E171" s="15" t="s">
        <v>155</v>
      </c>
    </row>
    <row r="173" spans="1:57" ht="14.25" customHeight="1" x14ac:dyDescent="0.15">
      <c r="D173" s="26" t="str">
        <f>$C$7&amp;"9."</f>
        <v>5.2.9.</v>
      </c>
      <c r="E173" s="15" t="s">
        <v>156</v>
      </c>
    </row>
    <row r="174" spans="1:57" ht="14.25" customHeight="1" x14ac:dyDescent="0.15">
      <c r="D174" s="26"/>
    </row>
    <row r="175" spans="1:57" s="43" customFormat="1" ht="11.25" customHeight="1" x14ac:dyDescent="0.15">
      <c r="A175" s="15"/>
      <c r="B175" s="15"/>
      <c r="C175" s="15"/>
      <c r="D175" s="26"/>
      <c r="E175" s="69" t="str">
        <f>$D$173&amp;"1."</f>
        <v>5.2.9.1.</v>
      </c>
      <c r="F175" s="15" t="s">
        <v>46</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row>
    <row r="176" spans="1:57" s="43" customFormat="1" ht="11.25" customHeight="1" x14ac:dyDescent="0.15">
      <c r="A176" s="15"/>
      <c r="B176" s="15"/>
      <c r="C176" s="15"/>
      <c r="D176" s="26"/>
      <c r="E176" s="69"/>
      <c r="F176" s="15" t="s">
        <v>206</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row>
    <row r="177" spans="1:57" s="43" customFormat="1" ht="11.25" customHeight="1" x14ac:dyDescent="0.15">
      <c r="A177" s="15"/>
      <c r="B177" s="15"/>
      <c r="C177" s="15"/>
      <c r="D177" s="15"/>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row>
    <row r="178" spans="1:57" s="43" customFormat="1" ht="11.25" customHeight="1" x14ac:dyDescent="0.15">
      <c r="A178" s="15"/>
      <c r="B178" s="15"/>
      <c r="C178" s="15"/>
      <c r="D178" s="15"/>
      <c r="E178" s="69" t="str">
        <f>$D$173&amp;"2."</f>
        <v>5.2.9.2.</v>
      </c>
      <c r="F178" s="14" t="s">
        <v>157</v>
      </c>
      <c r="G178" s="14"/>
      <c r="H178" s="14"/>
      <c r="I178" s="14"/>
      <c r="J178" s="14"/>
      <c r="K178" s="14"/>
      <c r="L178" s="14"/>
      <c r="M178" s="14"/>
      <c r="N178" s="14"/>
      <c r="O178" s="14"/>
      <c r="P178" s="14"/>
      <c r="Q178" s="14"/>
      <c r="R178" s="14"/>
      <c r="S178" s="14"/>
      <c r="T178" s="14"/>
      <c r="U178" s="14"/>
      <c r="V178" s="14"/>
      <c r="W178" s="14"/>
      <c r="X178" s="14"/>
      <c r="Y178" s="14"/>
      <c r="Z178" s="14"/>
      <c r="AA178" s="14"/>
      <c r="AB178" s="14"/>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row>
    <row r="179" spans="1:57" s="43" customFormat="1" ht="11.25" customHeight="1" x14ac:dyDescent="0.15">
      <c r="A179" s="15"/>
      <c r="B179" s="15"/>
      <c r="C179" s="15"/>
      <c r="D179" s="15"/>
      <c r="E179" s="70"/>
      <c r="F179" s="14" t="s">
        <v>158</v>
      </c>
      <c r="G179" s="14"/>
      <c r="H179" s="14"/>
      <c r="I179" s="14"/>
      <c r="J179" s="14"/>
      <c r="K179" s="14"/>
      <c r="L179" s="14"/>
      <c r="M179" s="14"/>
      <c r="N179" s="14"/>
      <c r="O179" s="14"/>
      <c r="P179" s="14"/>
      <c r="Q179" s="14"/>
      <c r="R179" s="14"/>
      <c r="S179" s="14"/>
      <c r="T179" s="14"/>
      <c r="U179" s="14"/>
      <c r="V179" s="14"/>
      <c r="W179" s="14"/>
      <c r="X179" s="14"/>
      <c r="Y179" s="14"/>
      <c r="Z179" s="14"/>
      <c r="AA179" s="14"/>
      <c r="AB179" s="14"/>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row>
    <row r="180" spans="1:57" s="43" customFormat="1" ht="11.25" customHeight="1" x14ac:dyDescent="0.15">
      <c r="A180" s="15"/>
      <c r="B180" s="15"/>
      <c r="C180" s="15"/>
      <c r="D180" s="15"/>
      <c r="E180" s="71"/>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row>
    <row r="181" spans="1:57" s="43" customFormat="1" ht="11.25" customHeight="1" x14ac:dyDescent="0.15">
      <c r="A181" s="15"/>
      <c r="B181" s="15"/>
      <c r="C181" s="15"/>
      <c r="D181" s="15"/>
      <c r="E181" s="14"/>
      <c r="F181" s="35" t="s">
        <v>159</v>
      </c>
      <c r="G181" s="23"/>
      <c r="H181" s="23"/>
      <c r="I181" s="23"/>
      <c r="J181" s="22"/>
      <c r="K181" s="35" t="s">
        <v>160</v>
      </c>
      <c r="L181" s="23"/>
      <c r="M181" s="23"/>
      <c r="N181" s="23"/>
      <c r="O181" s="23"/>
      <c r="P181" s="23"/>
      <c r="Q181" s="23"/>
      <c r="R181" s="23"/>
      <c r="S181" s="23"/>
      <c r="T181" s="23"/>
      <c r="U181" s="22"/>
      <c r="V181" s="23" t="s">
        <v>59</v>
      </c>
      <c r="W181" s="23"/>
      <c r="X181" s="23"/>
      <c r="Y181" s="23"/>
      <c r="Z181" s="23"/>
      <c r="AA181" s="23"/>
      <c r="AB181" s="23"/>
      <c r="AC181" s="28"/>
      <c r="AD181" s="28"/>
      <c r="AE181" s="28"/>
      <c r="AF181" s="28"/>
      <c r="AG181" s="28"/>
      <c r="AH181" s="29"/>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row>
    <row r="182" spans="1:57" ht="11.25" customHeight="1" x14ac:dyDescent="0.15">
      <c r="E182" s="14"/>
      <c r="F182" s="21" t="s">
        <v>161</v>
      </c>
      <c r="G182" s="24"/>
      <c r="H182" s="24"/>
      <c r="I182" s="24"/>
      <c r="J182" s="25"/>
      <c r="K182" s="21" t="s">
        <v>162</v>
      </c>
      <c r="L182" s="24"/>
      <c r="M182" s="24"/>
      <c r="N182" s="24"/>
      <c r="O182" s="24"/>
      <c r="P182" s="24"/>
      <c r="Q182" s="24"/>
      <c r="R182" s="24"/>
      <c r="S182" s="24"/>
      <c r="T182" s="24"/>
      <c r="U182" s="25"/>
      <c r="V182" s="21" t="s">
        <v>163</v>
      </c>
      <c r="W182" s="24"/>
      <c r="X182" s="24"/>
      <c r="Y182" s="24"/>
      <c r="Z182" s="24"/>
      <c r="AA182" s="24"/>
      <c r="AB182" s="24"/>
      <c r="AC182" s="56"/>
      <c r="AD182" s="24"/>
      <c r="AE182" s="56"/>
      <c r="AF182" s="56"/>
      <c r="AG182" s="56"/>
      <c r="AH182" s="57"/>
    </row>
    <row r="183" spans="1:57" ht="11.25" customHeight="1" x14ac:dyDescent="0.15">
      <c r="E183" s="14"/>
      <c r="F183" s="18"/>
      <c r="G183" s="19"/>
      <c r="H183" s="19"/>
      <c r="I183" s="19"/>
      <c r="J183" s="20"/>
      <c r="K183" s="18"/>
      <c r="L183" s="19"/>
      <c r="M183" s="19"/>
      <c r="N183" s="19"/>
      <c r="O183" s="19"/>
      <c r="P183" s="19"/>
      <c r="Q183" s="19"/>
      <c r="R183" s="19"/>
      <c r="S183" s="19"/>
      <c r="T183" s="19"/>
      <c r="U183" s="20"/>
      <c r="V183" s="18" t="s">
        <v>164</v>
      </c>
      <c r="W183" s="19"/>
      <c r="X183" s="19"/>
      <c r="Y183" s="19"/>
      <c r="Z183" s="19"/>
      <c r="AA183" s="19"/>
      <c r="AB183" s="19"/>
      <c r="AC183" s="53"/>
      <c r="AD183" s="19"/>
      <c r="AE183" s="53"/>
      <c r="AF183" s="53"/>
      <c r="AG183" s="53"/>
      <c r="AH183" s="54"/>
    </row>
    <row r="184" spans="1:57" ht="11.25" customHeight="1" x14ac:dyDescent="0.15">
      <c r="D184" s="14"/>
      <c r="E184" s="14"/>
      <c r="F184" s="21" t="s">
        <v>165</v>
      </c>
      <c r="G184" s="24"/>
      <c r="H184" s="24"/>
      <c r="I184" s="24"/>
      <c r="J184" s="25"/>
      <c r="K184" s="58" t="s">
        <v>166</v>
      </c>
      <c r="L184" s="56"/>
      <c r="M184" s="56"/>
      <c r="N184" s="56"/>
      <c r="O184" s="56"/>
      <c r="P184" s="56"/>
      <c r="Q184" s="56"/>
      <c r="R184" s="56"/>
      <c r="S184" s="56"/>
      <c r="T184" s="56"/>
      <c r="U184" s="57"/>
      <c r="V184" s="21" t="s">
        <v>167</v>
      </c>
      <c r="W184" s="24"/>
      <c r="X184" s="24"/>
      <c r="Y184" s="24"/>
      <c r="Z184" s="24"/>
      <c r="AA184" s="24"/>
      <c r="AB184" s="24"/>
      <c r="AC184" s="24"/>
      <c r="AD184" s="24"/>
      <c r="AE184" s="24"/>
      <c r="AF184" s="24"/>
      <c r="AG184" s="24"/>
      <c r="AH184" s="25"/>
    </row>
    <row r="185" spans="1:57" ht="11.25" customHeight="1" x14ac:dyDescent="0.15">
      <c r="D185" s="14"/>
      <c r="E185" s="14"/>
      <c r="F185" s="18"/>
      <c r="G185" s="19"/>
      <c r="H185" s="19"/>
      <c r="I185" s="19"/>
      <c r="J185" s="20"/>
      <c r="K185" s="55"/>
      <c r="L185" s="53"/>
      <c r="M185" s="53"/>
      <c r="N185" s="53"/>
      <c r="O185" s="53"/>
      <c r="P185" s="53"/>
      <c r="Q185" s="53"/>
      <c r="R185" s="53"/>
      <c r="S185" s="53"/>
      <c r="T185" s="53"/>
      <c r="U185" s="54"/>
      <c r="V185" s="18" t="s">
        <v>168</v>
      </c>
      <c r="W185" s="19"/>
      <c r="X185" s="19"/>
      <c r="Y185" s="19"/>
      <c r="Z185" s="19"/>
      <c r="AA185" s="19"/>
      <c r="AB185" s="19"/>
      <c r="AC185" s="19"/>
      <c r="AD185" s="19"/>
      <c r="AE185" s="19"/>
      <c r="AF185" s="19"/>
      <c r="AG185" s="19"/>
      <c r="AH185" s="20"/>
    </row>
    <row r="186" spans="1:57" ht="11.25" customHeight="1" x14ac:dyDescent="0.15">
      <c r="D186" s="14"/>
      <c r="E186" s="14"/>
      <c r="F186" s="30" t="s">
        <v>169</v>
      </c>
      <c r="G186" s="31"/>
      <c r="H186" s="31"/>
      <c r="I186" s="31"/>
      <c r="J186" s="32"/>
      <c r="K186" s="72" t="s">
        <v>170</v>
      </c>
      <c r="L186" s="33"/>
      <c r="M186" s="33"/>
      <c r="N186" s="33"/>
      <c r="O186" s="33"/>
      <c r="P186" s="33"/>
      <c r="Q186" s="33"/>
      <c r="R186" s="33"/>
      <c r="S186" s="33"/>
      <c r="T186" s="33"/>
      <c r="U186" s="34"/>
      <c r="V186" s="30" t="s">
        <v>171</v>
      </c>
      <c r="W186" s="31"/>
      <c r="X186" s="31"/>
      <c r="Y186" s="31"/>
      <c r="Z186" s="31"/>
      <c r="AA186" s="31"/>
      <c r="AB186" s="31"/>
      <c r="AC186" s="31"/>
      <c r="AD186" s="31"/>
      <c r="AE186" s="31"/>
      <c r="AF186" s="31"/>
      <c r="AG186" s="31"/>
      <c r="AH186" s="32"/>
    </row>
    <row r="187" spans="1:57" ht="11.25" customHeight="1" x14ac:dyDescent="0.15">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57" ht="14.25" customHeight="1" x14ac:dyDescent="0.15">
      <c r="D188" s="26" t="str">
        <f>$C$7&amp;"10."</f>
        <v>5.2.10.</v>
      </c>
      <c r="E188" s="15" t="s">
        <v>172</v>
      </c>
    </row>
    <row r="189" spans="1:57" ht="11.25" customHeight="1" x14ac:dyDescent="0.15">
      <c r="C189" s="26"/>
      <c r="E189" s="15" t="s">
        <v>207</v>
      </c>
    </row>
    <row r="191" spans="1:57" ht="14.25" customHeight="1" x14ac:dyDescent="0.15">
      <c r="D191" s="26" t="str">
        <f>$C$7&amp;"11."</f>
        <v>5.2.11.</v>
      </c>
      <c r="E191" s="15" t="s">
        <v>173</v>
      </c>
    </row>
    <row r="192" spans="1:57" ht="11.25" customHeight="1" x14ac:dyDescent="0.15">
      <c r="B192" s="14"/>
      <c r="C192" s="14"/>
      <c r="D192" s="14"/>
      <c r="E192" s="14" t="s">
        <v>174</v>
      </c>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2:28" ht="11.25" customHeight="1" x14ac:dyDescent="0.15">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2:28" ht="11.25" customHeight="1" x14ac:dyDescent="0.15">
      <c r="B194" s="14"/>
      <c r="C194" s="14"/>
      <c r="D194" s="14"/>
      <c r="E194" s="14" t="s">
        <v>175</v>
      </c>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2:28" ht="11.25" customHeight="1" x14ac:dyDescent="0.15">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2:28" ht="11.25" customHeight="1" x14ac:dyDescent="0.15">
      <c r="B196" s="14"/>
      <c r="C196" s="14"/>
      <c r="D196" s="14"/>
      <c r="E196" s="35" t="s">
        <v>176</v>
      </c>
      <c r="F196" s="23"/>
      <c r="G196" s="23"/>
      <c r="H196" s="23"/>
      <c r="I196" s="23"/>
      <c r="J196" s="23"/>
      <c r="K196" s="23"/>
      <c r="L196" s="23"/>
      <c r="M196" s="23"/>
      <c r="N196" s="23"/>
      <c r="O196" s="22"/>
      <c r="P196" s="35" t="s">
        <v>177</v>
      </c>
      <c r="Q196" s="23"/>
      <c r="R196" s="23"/>
      <c r="S196" s="23"/>
      <c r="T196" s="23"/>
      <c r="U196" s="23"/>
      <c r="V196" s="23"/>
      <c r="W196" s="22"/>
      <c r="X196" s="14"/>
      <c r="Y196" s="14"/>
      <c r="Z196" s="14"/>
      <c r="AA196" s="14"/>
    </row>
    <row r="197" spans="2:28" ht="11.25" customHeight="1" x14ac:dyDescent="0.15">
      <c r="B197" s="14"/>
      <c r="C197" s="14"/>
      <c r="D197" s="14"/>
      <c r="E197" s="30" t="s">
        <v>178</v>
      </c>
      <c r="F197" s="31"/>
      <c r="G197" s="31"/>
      <c r="H197" s="31"/>
      <c r="I197" s="31"/>
      <c r="J197" s="31"/>
      <c r="K197" s="31"/>
      <c r="L197" s="31"/>
      <c r="M197" s="31"/>
      <c r="N197" s="31"/>
      <c r="O197" s="32"/>
      <c r="P197" s="30" t="s">
        <v>179</v>
      </c>
      <c r="Q197" s="31"/>
      <c r="R197" s="31"/>
      <c r="S197" s="31"/>
      <c r="T197" s="31"/>
      <c r="U197" s="31"/>
      <c r="V197" s="31"/>
      <c r="W197" s="32"/>
      <c r="X197" s="14"/>
      <c r="Y197" s="14"/>
      <c r="Z197" s="14"/>
      <c r="AA197" s="14"/>
    </row>
    <row r="198" spans="2:28" ht="11.25" customHeight="1" x14ac:dyDescent="0.15">
      <c r="B198" s="14"/>
      <c r="C198" s="14"/>
      <c r="D198" s="14"/>
      <c r="E198" s="30" t="s">
        <v>180</v>
      </c>
      <c r="F198" s="31"/>
      <c r="G198" s="31"/>
      <c r="H198" s="31"/>
      <c r="I198" s="31"/>
      <c r="J198" s="31"/>
      <c r="K198" s="31"/>
      <c r="L198" s="31"/>
      <c r="M198" s="31"/>
      <c r="N198" s="31"/>
      <c r="O198" s="32"/>
      <c r="P198" s="30" t="s">
        <v>179</v>
      </c>
      <c r="Q198" s="31"/>
      <c r="R198" s="31"/>
      <c r="S198" s="31"/>
      <c r="T198" s="31"/>
      <c r="U198" s="31"/>
      <c r="V198" s="31"/>
      <c r="W198" s="32"/>
      <c r="X198" s="14"/>
      <c r="Y198" s="14"/>
      <c r="Z198" s="14"/>
      <c r="AA198" s="14"/>
    </row>
    <row r="199" spans="2:28" ht="11.25" customHeight="1" x14ac:dyDescent="0.15">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2:28" ht="11.25" customHeight="1" x14ac:dyDescent="0.15">
      <c r="B200" s="14"/>
      <c r="C200" s="14"/>
      <c r="D200" s="14"/>
      <c r="E200" s="14" t="s">
        <v>181</v>
      </c>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2:28" ht="11.25" customHeight="1" x14ac:dyDescent="0.15">
      <c r="B201" s="14"/>
      <c r="C201" s="14"/>
      <c r="D201" s="14"/>
      <c r="E201" s="14" t="s">
        <v>182</v>
      </c>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2:28" ht="11.25" customHeight="1" x14ac:dyDescent="0.15">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spans="2:28" ht="11.25" customHeight="1" x14ac:dyDescent="0.15">
      <c r="B203" s="14"/>
      <c r="C203" s="14"/>
      <c r="D203" s="14"/>
      <c r="E203" s="14" t="s">
        <v>183</v>
      </c>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spans="2:28" ht="14.25" customHeight="1" x14ac:dyDescent="0.15">
      <c r="E204" s="14" t="s">
        <v>184</v>
      </c>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18" r:id="rId1" xr:uid="{DB0F99B3-CA20-44D3-B648-7F6406B531AE}"/>
  </hyperlinks>
  <pageMargins left="0.7" right="0.7" top="0.75" bottom="0.75" header="0.3" footer="0.3"/>
  <pageSetup paperSize="9" fitToHeight="0" orientation="landscape" r:id="rId2"/>
  <rowBreaks count="6" manualBreakCount="6">
    <brk id="37" max="34" man="1"/>
    <brk id="71" max="34" man="1"/>
    <brk id="97" max="34" man="1"/>
    <brk id="112" max="34" man="1"/>
    <brk id="153" max="34" man="1"/>
    <brk id="190" max="34"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5.2.REST</vt:lpstr>
      <vt:lpstr>'5.2.REST'!Print_Area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2025-04-21T02:04:44Z</dcterms:created>
  <dcterms:modified xsi:type="dcterms:W3CDTF">2025-04-21T02:04:55Z</dcterms:modified>
  <cp:category/>
  <cp:contentStatus/>
</cp:coreProperties>
</file>