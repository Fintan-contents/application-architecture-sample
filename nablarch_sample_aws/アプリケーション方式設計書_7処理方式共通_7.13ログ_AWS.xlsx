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filterPrivacy="1" codeName="ThisWorkbook"/>
  <xr:revisionPtr revIDLastSave="0" documentId="13_ncr:1_{92B8FF35-ED69-41ED-8B96-D1CC8682E0FE}" xr6:coauthVersionLast="47" xr6:coauthVersionMax="47" xr10:uidLastSave="{00000000-0000-0000-0000-000000000000}"/>
  <bookViews>
    <workbookView xWindow="1245" yWindow="-120" windowWidth="27675" windowHeight="16440" xr2:uid="{00000000-000D-0000-FFFF-FFFF00000000}"/>
  </bookViews>
  <sheets>
    <sheet name="7.13.ログ"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9" i="2" l="1"/>
  <c r="G91" i="2"/>
  <c r="G90" i="2"/>
  <c r="G96" i="2"/>
  <c r="G89" i="2"/>
  <c r="G92" i="2"/>
  <c r="G162" i="2" l="1"/>
  <c r="G159" i="2"/>
  <c r="G120" i="2"/>
  <c r="G117" i="2"/>
  <c r="C7" i="2"/>
  <c r="D109" i="2" l="1"/>
  <c r="D190" i="2"/>
  <c r="D233" i="2"/>
  <c r="D10" i="2"/>
  <c r="D79" i="2"/>
  <c r="E80" i="2" s="1"/>
  <c r="E217" i="2" l="1"/>
  <c r="F218" i="2" s="1"/>
  <c r="P140" i="2"/>
  <c r="E208" i="2"/>
  <c r="F209" i="2" s="1"/>
  <c r="R176" i="2"/>
  <c r="E149" i="2"/>
  <c r="E110" i="2"/>
  <c r="E41" i="2"/>
  <c r="E70" i="2"/>
  <c r="E67" i="2"/>
  <c r="E11" i="2"/>
  <c r="F37" i="2" l="1"/>
  <c r="F35" i="2"/>
  <c r="F34" i="2"/>
  <c r="F33" i="2"/>
  <c r="F32" i="2"/>
  <c r="F31" i="2"/>
</calcChain>
</file>

<file path=xl/sharedStrings.xml><?xml version="1.0" encoding="utf-8"?>
<sst xmlns="http://schemas.openxmlformats.org/spreadsheetml/2006/main" count="371" uniqueCount="283">
  <si>
    <t>プロジェクト名</t>
    <phoneticPr fontId="3"/>
  </si>
  <si>
    <t>工程</t>
    <rPh sb="0" eb="2">
      <t>コウテイ</t>
    </rPh>
    <phoneticPr fontId="5"/>
  </si>
  <si>
    <t>要件定義</t>
    <rPh sb="0" eb="4">
      <t>ヨウケンテイギ</t>
    </rPh>
    <phoneticPr fontId="2"/>
  </si>
  <si>
    <t>作成</t>
    <phoneticPr fontId="5"/>
  </si>
  <si>
    <t>システム名</t>
  </si>
  <si>
    <t>成果物名</t>
    <phoneticPr fontId="5"/>
  </si>
  <si>
    <t>アプリケーション方式設計書</t>
  </si>
  <si>
    <t>変更</t>
    <phoneticPr fontId="5"/>
  </si>
  <si>
    <t>サブシステム名</t>
  </si>
  <si>
    <t>確認</t>
    <phoneticPr fontId="5"/>
  </si>
  <si>
    <t>7.</t>
    <phoneticPr fontId="2"/>
  </si>
  <si>
    <t>処理方式共通</t>
    <rPh sb="0" eb="2">
      <t>ショリ</t>
    </rPh>
    <rPh sb="2" eb="4">
      <t>ホウシキ</t>
    </rPh>
    <rPh sb="4" eb="6">
      <t>キョウツウ</t>
    </rPh>
    <phoneticPr fontId="2"/>
  </si>
  <si>
    <t>ログ</t>
    <phoneticPr fontId="2"/>
  </si>
  <si>
    <t>本システムのログ出力では、Nablarchが提供するログ出力機能を使用する。</t>
    <rPh sb="0" eb="1">
      <t>ホン</t>
    </rPh>
    <rPh sb="8" eb="10">
      <t>シュツリョク</t>
    </rPh>
    <rPh sb="22" eb="24">
      <t>テイキョウ</t>
    </rPh>
    <rPh sb="28" eb="30">
      <t>シュツリョク</t>
    </rPh>
    <rPh sb="30" eb="32">
      <t>キノウ</t>
    </rPh>
    <rPh sb="33" eb="35">
      <t>シヨウ</t>
    </rPh>
    <phoneticPr fontId="2"/>
  </si>
  <si>
    <t>ログ定義</t>
    <rPh sb="2" eb="4">
      <t>テイギ</t>
    </rPh>
    <phoneticPr fontId="2"/>
  </si>
  <si>
    <t>ログレベル</t>
    <phoneticPr fontId="2"/>
  </si>
  <si>
    <t>ログレベルには、以下の種類がある。</t>
    <rPh sb="8" eb="10">
      <t>イカ</t>
    </rPh>
    <rPh sb="11" eb="13">
      <t>シュルイ</t>
    </rPh>
    <phoneticPr fontId="2"/>
  </si>
  <si>
    <t>ログレベルの</t>
    <phoneticPr fontId="2"/>
  </si>
  <si>
    <t>定義</t>
    <rPh sb="0" eb="2">
      <t>テイギ</t>
    </rPh>
    <phoneticPr fontId="2"/>
  </si>
  <si>
    <t>識別文言</t>
    <phoneticPr fontId="2"/>
  </si>
  <si>
    <t>FATAL</t>
    <phoneticPr fontId="2"/>
  </si>
  <si>
    <t>-FATAL-</t>
  </si>
  <si>
    <t>アプリケーションの継続が不可能になる深刻な問題が発生したことを示す。</t>
    <phoneticPr fontId="2"/>
  </si>
  <si>
    <t>監視が必須で即通報および即対応が必要となる。</t>
    <phoneticPr fontId="2"/>
  </si>
  <si>
    <t>ERROR</t>
  </si>
  <si>
    <t>-ERROR-</t>
  </si>
  <si>
    <t>アプリケーションの継続に支障をきたす問題が発生したことを示す。</t>
    <phoneticPr fontId="2"/>
  </si>
  <si>
    <t>監視が必須であるが、通報および対応にFATALレベルほどの緊急性がない。</t>
    <phoneticPr fontId="2"/>
  </si>
  <si>
    <t>WARN</t>
  </si>
  <si>
    <t>-WARN-</t>
  </si>
  <si>
    <t>アプリケーションの継続に影響を与えるものではないが、警告として記録すべき事象が発生したことを示す。</t>
  </si>
  <si>
    <t>監視や即対応が必要なものではないが、定期的に発生状況を確認し、必要に応じて改善につなげることが</t>
    <phoneticPr fontId="2"/>
  </si>
  <si>
    <t>望ましい。</t>
    <phoneticPr fontId="2"/>
  </si>
  <si>
    <t>INFO</t>
  </si>
  <si>
    <t>-INFO-</t>
  </si>
  <si>
    <t>本番運用時にアプリケーションの情報を出力するログレベル。アクセスログや統計ログが該当する。</t>
  </si>
  <si>
    <t>DEBUG</t>
  </si>
  <si>
    <t>-DEBUG-</t>
  </si>
  <si>
    <t>開発時にデバッグ情報を出力するログレベル。SQLログや性能ログが該当する。</t>
  </si>
  <si>
    <t>TRACE</t>
  </si>
  <si>
    <t>-TRACE-</t>
  </si>
  <si>
    <t>開発時にデバッグ情報より更に細かい情報を出力したい場合に使用するログレベル。</t>
    <rPh sb="12" eb="13">
      <t>サラ</t>
    </rPh>
    <phoneticPr fontId="2"/>
  </si>
  <si>
    <t>上記の特徴を踏まえ、本システムでの出力方針を以下に示す。</t>
    <rPh sb="17" eb="21">
      <t>シュツリョクホウシン</t>
    </rPh>
    <phoneticPr fontId="2"/>
  </si>
  <si>
    <t>方針</t>
    <rPh sb="0" eb="2">
      <t>ホウシン</t>
    </rPh>
    <phoneticPr fontId="2"/>
  </si>
  <si>
    <t>理由</t>
    <rPh sb="0" eb="2">
      <t>リユウ</t>
    </rPh>
    <phoneticPr fontId="2"/>
  </si>
  <si>
    <t>全ての環境で出力する。</t>
    <rPh sb="0" eb="1">
      <t>スベ</t>
    </rPh>
    <rPh sb="3" eb="5">
      <t>カンキョウ</t>
    </rPh>
    <rPh sb="6" eb="8">
      <t>シュツリョク</t>
    </rPh>
    <phoneticPr fontId="2"/>
  </si>
  <si>
    <t>開発・運用で必要な情報であるため出力する。</t>
    <phoneticPr fontId="2"/>
  </si>
  <si>
    <t>本番環境・ステージング環境</t>
    <rPh sb="0" eb="2">
      <t>ホンバン</t>
    </rPh>
    <rPh sb="2" eb="4">
      <t>カンキョウ</t>
    </rPh>
    <rPh sb="11" eb="13">
      <t>カンキョウ</t>
    </rPh>
    <phoneticPr fontId="2"/>
  </si>
  <si>
    <t>では出力しない。</t>
    <phoneticPr fontId="2"/>
  </si>
  <si>
    <t>ログの種類</t>
    <rPh sb="3" eb="5">
      <t>シュルイ</t>
    </rPh>
    <phoneticPr fontId="2"/>
  </si>
  <si>
    <t>ログの種類には、以下がある。</t>
    <rPh sb="3" eb="5">
      <t>シュルイ</t>
    </rPh>
    <rPh sb="8" eb="10">
      <t>イカ</t>
    </rPh>
    <phoneticPr fontId="2"/>
  </si>
  <si>
    <t>ログ名</t>
  </si>
  <si>
    <t>出力ログレベル</t>
  </si>
  <si>
    <t>目的</t>
  </si>
  <si>
    <t>障害通知ログ</t>
  </si>
  <si>
    <t>FATAL、ERROR</t>
  </si>
  <si>
    <t>障害発生時に運用監視ツールに障害が発生したことを通知するためのログ。</t>
    <phoneticPr fontId="2"/>
  </si>
  <si>
    <t>アクセスログ</t>
  </si>
  <si>
    <t>本システムへのアクセスを記録するログ。</t>
  </si>
  <si>
    <t>本システムへのアクセスログを全て記録し、</t>
    <phoneticPr fontId="2"/>
  </si>
  <si>
    <t>監査証跡やシステムの負荷状況の把握などに使用する。</t>
    <phoneticPr fontId="2"/>
  </si>
  <si>
    <t>SQLログ</t>
  </si>
  <si>
    <t>DEBUG、TRACE</t>
  </si>
  <si>
    <t>Nablarch Application Frameworkが出力するSQLの実行ログ。</t>
  </si>
  <si>
    <t>開発時のデバッグ目的及び、SQL実行時間を元に</t>
    <phoneticPr fontId="2"/>
  </si>
  <si>
    <t>性能上問題のあるSQLを洗い出すために使用するログである。</t>
    <phoneticPr fontId="2"/>
  </si>
  <si>
    <t>パフォーマンスログ</t>
  </si>
  <si>
    <t>性能計測用のログ。</t>
  </si>
  <si>
    <t>性能試験時に性能計測を目的に埋め込むログである。</t>
    <phoneticPr fontId="2"/>
  </si>
  <si>
    <t>実行状況ログ</t>
  </si>
  <si>
    <t>WARN、INFO</t>
  </si>
  <si>
    <t>アプリケーションの実行状況に関するログを出力する。</t>
  </si>
  <si>
    <t>主に下記ログが出力される。</t>
  </si>
  <si>
    <t>・初期化ログ</t>
    <phoneticPr fontId="2"/>
  </si>
  <si>
    <t xml:space="preserve">  ログ機能の初期化処理を示すログ</t>
    <phoneticPr fontId="2"/>
  </si>
  <si>
    <t>・例外ログ</t>
    <rPh sb="1" eb="3">
      <t>レイガイ</t>
    </rPh>
    <phoneticPr fontId="2"/>
  </si>
  <si>
    <t xml:space="preserve">  １トランザクションで複数の例外が発生した場合に、</t>
    <phoneticPr fontId="2"/>
  </si>
  <si>
    <t xml:space="preserve">  全ての例外情報を特定できるようにするためのログ</t>
    <phoneticPr fontId="2"/>
  </si>
  <si>
    <t>・Nablarchが出力するログ</t>
    <phoneticPr fontId="2"/>
  </si>
  <si>
    <t xml:space="preserve">  NablarchフレームワークがINFOレベルで出力しているログが該当する。</t>
    <phoneticPr fontId="2"/>
  </si>
  <si>
    <t xml:space="preserve">  NablarchServletContextListenerの初期化が完了したことを示すログなどが出力される。</t>
    <phoneticPr fontId="2"/>
  </si>
  <si>
    <t>各ログの出力方針は、対応するログレベルの出力方針に従う。</t>
    <phoneticPr fontId="2"/>
  </si>
  <si>
    <t>文字コード</t>
    <rPh sb="0" eb="2">
      <t>モジ</t>
    </rPh>
    <phoneticPr fontId="2"/>
  </si>
  <si>
    <t>ログマスキング</t>
    <phoneticPr fontId="2"/>
  </si>
  <si>
    <t>Nablarchで提供されるデフォルトのログフォーマットをそのまま使用した場合、</t>
    <phoneticPr fontId="2"/>
  </si>
  <si>
    <t>HTTPリクエストパラメータに含まれる情報がログに出力される為、以下の通りマスキングを実施する。</t>
    <rPh sb="32" eb="34">
      <t>イカ</t>
    </rPh>
    <rPh sb="35" eb="36">
      <t>トオ</t>
    </rPh>
    <rPh sb="43" eb="45">
      <t>ジッシ</t>
    </rPh>
    <phoneticPr fontId="2"/>
  </si>
  <si>
    <t>項目</t>
  </si>
  <si>
    <t>マスキング</t>
    <phoneticPr fontId="2"/>
  </si>
  <si>
    <t>説明</t>
  </si>
  <si>
    <t>ログインパスワード</t>
  </si>
  <si>
    <t>必要</t>
    <rPh sb="0" eb="2">
      <t>ヒツヨウ</t>
    </rPh>
    <phoneticPr fontId="2"/>
  </si>
  <si>
    <t>情報漏洩のリスクを低減させるため、ログインパスワードは必ずマスキングを行う。</t>
    <rPh sb="0" eb="4">
      <t>ジョウホウロウエイ</t>
    </rPh>
    <rPh sb="9" eb="11">
      <t>テイゲン</t>
    </rPh>
    <rPh sb="27" eb="28">
      <t>カナラ</t>
    </rPh>
    <rPh sb="35" eb="36">
      <t>オコナ</t>
    </rPh>
    <phoneticPr fontId="2"/>
  </si>
  <si>
    <t>各処理方式のログ</t>
    <rPh sb="0" eb="1">
      <t>カク</t>
    </rPh>
    <rPh sb="1" eb="3">
      <t>ショリ</t>
    </rPh>
    <rPh sb="3" eb="5">
      <t>ホウシキ</t>
    </rPh>
    <phoneticPr fontId="2"/>
  </si>
  <si>
    <t>(1)</t>
    <phoneticPr fontId="2"/>
  </si>
  <si>
    <t>特徴</t>
  </si>
  <si>
    <t>アプリケーションログ</t>
    <phoneticPr fontId="2"/>
  </si>
  <si>
    <t>アクセスログや、その他ログを出力する。</t>
    <phoneticPr fontId="2"/>
  </si>
  <si>
    <t>出力する処理方式</t>
    <rPh sb="0" eb="2">
      <t>シュツリョク</t>
    </rPh>
    <rPh sb="4" eb="6">
      <t>ショリ</t>
    </rPh>
    <rPh sb="6" eb="8">
      <t>ホウシキ</t>
    </rPh>
    <phoneticPr fontId="2"/>
  </si>
  <si>
    <t>ログ出力先(物理名)</t>
    <rPh sb="2" eb="4">
      <t>シュツリョク</t>
    </rPh>
    <rPh sb="4" eb="5">
      <t>サキ</t>
    </rPh>
    <rPh sb="6" eb="8">
      <t>ブツリ</t>
    </rPh>
    <rPh sb="8" eb="9">
      <t>メイ</t>
    </rPh>
    <phoneticPr fontId="2"/>
  </si>
  <si>
    <t>出力対象のログ</t>
    <rPh sb="0" eb="2">
      <t>シュツリョク</t>
    </rPh>
    <rPh sb="2" eb="4">
      <t>タイショウ</t>
    </rPh>
    <phoneticPr fontId="2"/>
  </si>
  <si>
    <t>画面処理方式</t>
    <rPh sb="0" eb="2">
      <t>ガメン</t>
    </rPh>
    <rPh sb="2" eb="6">
      <t>ショリホウシキ</t>
    </rPh>
    <phoneticPr fontId="2"/>
  </si>
  <si>
    <t>障害通知ログ</t>
    <rPh sb="0" eb="2">
      <t>ショウガイ</t>
    </rPh>
    <rPh sb="2" eb="4">
      <t>ツウチ</t>
    </rPh>
    <phoneticPr fontId="2"/>
  </si>
  <si>
    <t>バッチ処理方式</t>
    <rPh sb="3" eb="7">
      <t>ショリホウシキ</t>
    </rPh>
    <phoneticPr fontId="2"/>
  </si>
  <si>
    <t>入力処理方式(REST)</t>
    <rPh sb="0" eb="6">
      <t>ニュウリョクショリホウシキ</t>
    </rPh>
    <phoneticPr fontId="2"/>
  </si>
  <si>
    <t>SQLログ</t>
    <phoneticPr fontId="2"/>
  </si>
  <si>
    <t>実行状況ログ</t>
    <rPh sb="0" eb="2">
      <t>ジッコウ</t>
    </rPh>
    <rPh sb="2" eb="4">
      <t>ジョウキョウ</t>
    </rPh>
    <phoneticPr fontId="2"/>
  </si>
  <si>
    <t>パフォーマンスログ</t>
    <phoneticPr fontId="2"/>
  </si>
  <si>
    <t>(2)</t>
    <phoneticPr fontId="2"/>
  </si>
  <si>
    <t>(3)</t>
    <phoneticPr fontId="2"/>
  </si>
  <si>
    <t>運用設計書にて、インフラのログを含めてログの運用方針として、以下の内容を決定する。</t>
    <rPh sb="0" eb="2">
      <t>ウンヨウ</t>
    </rPh>
    <rPh sb="2" eb="5">
      <t>セッケイショ</t>
    </rPh>
    <rPh sb="16" eb="17">
      <t>フク</t>
    </rPh>
    <rPh sb="22" eb="24">
      <t>ウンヨウ</t>
    </rPh>
    <rPh sb="24" eb="26">
      <t>ホウシン</t>
    </rPh>
    <rPh sb="30" eb="32">
      <t>イカ</t>
    </rPh>
    <rPh sb="33" eb="35">
      <t>ナイヨウ</t>
    </rPh>
    <rPh sb="36" eb="38">
      <t>ケッテイ</t>
    </rPh>
    <phoneticPr fontId="2"/>
  </si>
  <si>
    <t>・保存世代／保存期間</t>
  </si>
  <si>
    <t>・バックアップ方法</t>
  </si>
  <si>
    <t>出力設定</t>
    <rPh sb="0" eb="2">
      <t>シュツリョク</t>
    </rPh>
    <rPh sb="2" eb="4">
      <t>セッテイ</t>
    </rPh>
    <phoneticPr fontId="2"/>
  </si>
  <si>
    <t>種類</t>
  </si>
  <si>
    <t>ロガー設定名</t>
    <rPh sb="3" eb="6">
      <t>セッテイメイ</t>
    </rPh>
    <phoneticPr fontId="2"/>
  </si>
  <si>
    <t>ロガー名</t>
    <rPh sb="3" eb="4">
      <t>メイ</t>
    </rPh>
    <phoneticPr fontId="2"/>
  </si>
  <si>
    <t>出力内容</t>
  </si>
  <si>
    <t>障害通知ログ</t>
    <rPh sb="2" eb="4">
      <t>ツウチ</t>
    </rPh>
    <phoneticPr fontId="2"/>
  </si>
  <si>
    <t>MON</t>
    <phoneticPr fontId="2"/>
  </si>
  <si>
    <t>MONITOR</t>
    <phoneticPr fontId="2"/>
  </si>
  <si>
    <t>障害通知が目的のため、運用監視ツール及び運用担当者に必要となる</t>
    <phoneticPr fontId="2"/>
  </si>
  <si>
    <t>最小限の情報を出力する。</t>
    <phoneticPr fontId="2"/>
  </si>
  <si>
    <t>ログフォーマット定義</t>
    <rPh sb="8" eb="10">
      <t>テイギ</t>
    </rPh>
    <phoneticPr fontId="2"/>
  </si>
  <si>
    <t>ログフォーマット</t>
    <phoneticPr fontId="2"/>
  </si>
  <si>
    <t>論理名</t>
  </si>
  <si>
    <t>ログ出力日時</t>
  </si>
  <si>
    <t>ログレベル</t>
  </si>
  <si>
    <t>実行時ID</t>
  </si>
  <si>
    <t>アプリケーションの個々の実行(＝トランザクション)を識別するために付けるID</t>
  </si>
  <si>
    <t>実行時IDの構成は以下の通り。</t>
  </si>
  <si>
    <t>&lt;起動プロセス&gt;&lt;システム日時(yyyyMMddHHmmssSSS)&gt;&lt;連番(4桁)&gt;</t>
  </si>
  <si>
    <t>起動プロセス</t>
  </si>
  <si>
    <t>プロセスを識別するための名称</t>
  </si>
  <si>
    <t>処理方式</t>
  </si>
  <si>
    <t>処理方式名</t>
  </si>
  <si>
    <t>下記値を設定する。</t>
  </si>
  <si>
    <t>出力文字列</t>
  </si>
  <si>
    <t>WEB</t>
  </si>
  <si>
    <t>BATCH</t>
    <phoneticPr fontId="2"/>
  </si>
  <si>
    <t>リクエストID</t>
  </si>
  <si>
    <t>アプリケーション処理の最小単位に対して付与されるID。</t>
    <phoneticPr fontId="2"/>
  </si>
  <si>
    <t>ユーザID</t>
  </si>
  <si>
    <t>ログインユーザID。</t>
    <phoneticPr fontId="2"/>
  </si>
  <si>
    <t>入力処理方式(REST)の場合はAPIキーから連携元システムIDを特定し、ユーザIDとして出力する。</t>
    <rPh sb="0" eb="6">
      <t>ニュウリョクショリホウシキ</t>
    </rPh>
    <rPh sb="13" eb="15">
      <t>バアイ</t>
    </rPh>
    <rPh sb="23" eb="26">
      <t>レンケイモト</t>
    </rPh>
    <rPh sb="33" eb="35">
      <t>トクテイ</t>
    </rPh>
    <rPh sb="45" eb="47">
      <t>シュツリョク</t>
    </rPh>
    <phoneticPr fontId="2"/>
  </si>
  <si>
    <t>障害メッセージ</t>
    <rPh sb="0" eb="2">
      <t>ショウガイ</t>
    </rPh>
    <phoneticPr fontId="2"/>
  </si>
  <si>
    <t>障害原因や障害発生業務を特定するための、障害通知ログのメッセージ。</t>
    <rPh sb="20" eb="24">
      <t>ショウガイツウチ</t>
    </rPh>
    <phoneticPr fontId="2"/>
  </si>
  <si>
    <t>例</t>
    <rPh sb="0" eb="1">
      <t>レイ</t>
    </rPh>
    <phoneticPr fontId="2"/>
  </si>
  <si>
    <t>ACC</t>
  </si>
  <si>
    <t>HTTP_ACCESS</t>
    <phoneticPr fontId="2"/>
  </si>
  <si>
    <t>ユーザからのアクセスを記録するためのログ。</t>
  </si>
  <si>
    <t>SQL</t>
    <phoneticPr fontId="2"/>
  </si>
  <si>
    <t>発行されたSQLに関する情報を出力するログ。</t>
  </si>
  <si>
    <t>試験環境でのみ出力する。</t>
  </si>
  <si>
    <t>PER</t>
    <phoneticPr fontId="2"/>
  </si>
  <si>
    <t>PERFORMANCE</t>
    <phoneticPr fontId="2"/>
  </si>
  <si>
    <t>性能計測用のログ。</t>
    <rPh sb="0" eb="5">
      <t>セイノウケイソクヨウ</t>
    </rPh>
    <phoneticPr fontId="2"/>
  </si>
  <si>
    <t>APP</t>
    <phoneticPr fontId="2"/>
  </si>
  <si>
    <t>-</t>
    <phoneticPr fontId="2"/>
  </si>
  <si>
    <t>上記に該当しないログが、実行状況ログとなる。</t>
  </si>
  <si>
    <t>ログレベルを識別する文言</t>
  </si>
  <si>
    <t>出力される文言は、ログレベルの定義を参照すること。</t>
  </si>
  <si>
    <t>ロガー名称</t>
  </si>
  <si>
    <t>起動プロセス名</t>
  </si>
  <si>
    <t>起動プロセスを識別する名前</t>
  </si>
  <si>
    <t>処理方式を識別する名前</t>
  </si>
  <si>
    <t>ログインユーザID</t>
    <phoneticPr fontId="2"/>
  </si>
  <si>
    <t>メッセージ</t>
  </si>
  <si>
    <t>ログ出力時に指定されたログメッセージ</t>
    <phoneticPr fontId="2"/>
  </si>
  <si>
    <t>オプション情報</t>
  </si>
  <si>
    <t>オプション情報に指定されたオブジェクトのフィールド情報(指定した場合のみ</t>
    <phoneticPr fontId="2"/>
  </si>
  <si>
    <t>出力される)</t>
    <phoneticPr fontId="2"/>
  </si>
  <si>
    <t>例外スタックトレース</t>
  </si>
  <si>
    <t>障害発生時の例外のスタックトレース情報(例外発生時のみ)。</t>
  </si>
  <si>
    <t>本情報を元に障害発生ポイントを特定し障害解析を行う。</t>
  </si>
  <si>
    <t>【SQLログ出力例】</t>
    <phoneticPr fontId="2"/>
  </si>
  <si>
    <t>ログの種類ごとのフォーマット</t>
    <rPh sb="3" eb="5">
      <t>シュルイ</t>
    </rPh>
    <phoneticPr fontId="2"/>
  </si>
  <si>
    <t>それぞれのデフォルトフォーマットについては、下記記載の解説書を参照のこと。</t>
    <rPh sb="21" eb="23">
      <t>カキ</t>
    </rPh>
    <rPh sb="23" eb="25">
      <t>キサイ</t>
    </rPh>
    <rPh sb="26" eb="29">
      <t>カイセツショ</t>
    </rPh>
    <rPh sb="30" eb="32">
      <t>サンショウ</t>
    </rPh>
    <phoneticPr fontId="2"/>
  </si>
  <si>
    <t>解説書</t>
    <rPh sb="0" eb="3">
      <t>カイセツショ</t>
    </rPh>
    <phoneticPr fontId="2"/>
  </si>
  <si>
    <t>※実行状況ログについては、フォーマットの指定はできないためNablarchが出力するものをそのまま使用する。</t>
    <rPh sb="20" eb="22">
      <t>シテイ</t>
    </rPh>
    <rPh sb="38" eb="40">
      <t>シュツリョク</t>
    </rPh>
    <rPh sb="49" eb="51">
      <t>シヨウ</t>
    </rPh>
    <phoneticPr fontId="2"/>
  </si>
  <si>
    <t>デフォルトフォーマットを使用せず独自にフォーマットを設定するものについては、以下で説明する。</t>
    <rPh sb="11" eb="13">
      <t>シヨウ</t>
    </rPh>
    <rPh sb="15" eb="17">
      <t>ドクジ</t>
    </rPh>
    <rPh sb="26" eb="28">
      <t>セッテイ</t>
    </rPh>
    <rPh sb="38" eb="40">
      <t>イカ</t>
    </rPh>
    <rPh sb="41" eb="43">
      <t>セツメイ</t>
    </rPh>
    <phoneticPr fontId="2"/>
  </si>
  <si>
    <t>障害通知ログのフォーマット</t>
    <rPh sb="0" eb="2">
      <t>ショウガイ</t>
    </rPh>
    <rPh sb="2" eb="4">
      <t>ツウチ</t>
    </rPh>
    <phoneticPr fontId="2"/>
  </si>
  <si>
    <t>アクセスログのフォーマット</t>
    <phoneticPr fontId="2"/>
  </si>
  <si>
    <t>エラー通知</t>
    <rPh sb="2" eb="4">
      <t>ツウチ</t>
    </rPh>
    <phoneticPr fontId="2"/>
  </si>
  <si>
    <t>REST</t>
    <phoneticPr fontId="2"/>
  </si>
  <si>
    <t>画面処理方式</t>
    <rPh sb="2" eb="6">
      <t>ショリホウシキ</t>
    </rPh>
    <phoneticPr fontId="2"/>
  </si>
  <si>
    <t>ログの文字コードは「UTF-8」を使用する。</t>
    <phoneticPr fontId="2"/>
  </si>
  <si>
    <t>各処理方式で出力するログ</t>
    <rPh sb="0" eb="1">
      <t>カク</t>
    </rPh>
    <rPh sb="1" eb="3">
      <t>ショリ</t>
    </rPh>
    <rPh sb="3" eb="5">
      <t>ホウシキ</t>
    </rPh>
    <rPh sb="6" eb="8">
      <t>シュツリョク</t>
    </rPh>
    <phoneticPr fontId="2"/>
  </si>
  <si>
    <t>ログ出力の種類</t>
    <rPh sb="2" eb="4">
      <t>シュツリョク</t>
    </rPh>
    <rPh sb="5" eb="7">
      <t>シュルイ</t>
    </rPh>
    <phoneticPr fontId="2"/>
  </si>
  <si>
    <t>監視ツールの監視対象となるログである。障害通知ログのみを出力する。</t>
    <phoneticPr fontId="2"/>
  </si>
  <si>
    <t>本システムでは、以下のログを出力する。</t>
    <rPh sb="0" eb="1">
      <t>ホン</t>
    </rPh>
    <rPh sb="8" eb="10">
      <t>イカ</t>
    </rPh>
    <rPh sb="14" eb="16">
      <t>シュツリョク</t>
    </rPh>
    <phoneticPr fontId="2"/>
  </si>
  <si>
    <t>ログの運用方針</t>
    <rPh sb="3" eb="5">
      <t>ウンヨウ</t>
    </rPh>
    <rPh sb="5" eb="7">
      <t>ホウシン</t>
    </rPh>
    <phoneticPr fontId="2"/>
  </si>
  <si>
    <t>障害通知ログ</t>
    <rPh sb="0" eb="2">
      <t>ショウガイツウチ</t>
    </rPh>
    <phoneticPr fontId="2"/>
  </si>
  <si>
    <t>アプリケーションログ</t>
  </si>
  <si>
    <t>それぞれのログ出力について、出力対象などの詳細を記載する。</t>
    <rPh sb="7" eb="9">
      <t>シュツリョク</t>
    </rPh>
    <rPh sb="14" eb="18">
      <t>シュツリョクタイショウ</t>
    </rPh>
    <rPh sb="21" eb="23">
      <t>ショウサイ</t>
    </rPh>
    <rPh sb="24" eb="26">
      <t>キサイ</t>
    </rPh>
    <phoneticPr fontId="2"/>
  </si>
  <si>
    <t>標準出力</t>
  </si>
  <si>
    <t>標準出力</t>
    <phoneticPr fontId="2"/>
  </si>
  <si>
    <t>ログ出力の種類</t>
    <rPh sb="5" eb="7">
      <t>シュルイ</t>
    </rPh>
    <phoneticPr fontId="2"/>
  </si>
  <si>
    <t>ログ出力ごとのフォーマット</t>
    <rPh sb="2" eb="4">
      <t>シュツリョク</t>
    </rPh>
    <phoneticPr fontId="2"/>
  </si>
  <si>
    <t>JSON形式で出力する。</t>
    <rPh sb="4" eb="6">
      <t>ケイシキ</t>
    </rPh>
    <rPh sb="7" eb="9">
      <t>シュツリョク</t>
    </rPh>
    <phoneticPr fontId="2"/>
  </si>
  <si>
    <t>date</t>
    <phoneticPr fontId="2"/>
  </si>
  <si>
    <t>実行時ロガー名</t>
    <rPh sb="6" eb="7">
      <t>メイ</t>
    </rPh>
    <phoneticPr fontId="2"/>
  </si>
  <si>
    <t>logLevel</t>
    <phoneticPr fontId="2"/>
  </si>
  <si>
    <t>executionId</t>
  </si>
  <si>
    <t>executionId</t>
    <phoneticPr fontId="2"/>
  </si>
  <si>
    <t>bootProcess</t>
  </si>
  <si>
    <t>bootProcess</t>
    <phoneticPr fontId="2"/>
  </si>
  <si>
    <t>processingSystem</t>
  </si>
  <si>
    <t>processingSystem</t>
    <phoneticPr fontId="2"/>
  </si>
  <si>
    <t>requestId</t>
  </si>
  <si>
    <t>requestId</t>
    <phoneticPr fontId="2"/>
  </si>
  <si>
    <t>userId</t>
  </si>
  <si>
    <t>userId</t>
    <phoneticPr fontId="2"/>
  </si>
  <si>
    <t>message</t>
  </si>
  <si>
    <t>message</t>
    <phoneticPr fontId="2"/>
  </si>
  <si>
    <t>説明</t>
    <rPh sb="0" eb="2">
      <t>セツメイ</t>
    </rPh>
    <phoneticPr fontId="2"/>
  </si>
  <si>
    <t>プロパティ名</t>
    <rPh sb="5" eb="6">
      <t>メイ</t>
    </rPh>
    <phoneticPr fontId="2"/>
  </si>
  <si>
    <t>ログレベルを識別する文言。文言の種類は、ログレベルの定義を参照。</t>
    <phoneticPr fontId="2"/>
  </si>
  <si>
    <t>出力項目</t>
    <rPh sb="0" eb="2">
      <t>シュツリョク</t>
    </rPh>
    <rPh sb="2" eb="4">
      <t>コウモク</t>
    </rPh>
    <phoneticPr fontId="2"/>
  </si>
  <si>
    <t>loggerName</t>
  </si>
  <si>
    <t>loggerName</t>
    <phoneticPr fontId="2"/>
  </si>
  <si>
    <t>ロガー名称。</t>
    <phoneticPr fontId="2"/>
  </si>
  <si>
    <t>ログ出力日時。</t>
    <phoneticPr fontId="2"/>
  </si>
  <si>
    <t>"message":"failed to get the message to output the failure log. failureCode = [ERROR001]","userId":"batch_user"}</t>
    <phoneticPr fontId="2"/>
  </si>
  <si>
    <t>"bootProcess":"sample-batch","logLevel":"ERROR","requestId":"SampleBatch","loggerName":"MON","failureCode":"ERROR001",</t>
    <phoneticPr fontId="2"/>
  </si>
  <si>
    <t>{"date":"2025-04-11 14:08:20.525","processingSystem":"BATCH","executionId":"sample-batch202504111408205160002",</t>
    <phoneticPr fontId="2"/>
  </si>
  <si>
    <t>※実際には一行で出力される。</t>
    <rPh sb="1" eb="3">
      <t>ジッサイ</t>
    </rPh>
    <rPh sb="5" eb="7">
      <t>イチギョウ</t>
    </rPh>
    <rPh sb="8" eb="10">
      <t>シュツリョク</t>
    </rPh>
    <phoneticPr fontId="2"/>
  </si>
  <si>
    <t>stackTrace</t>
  </si>
  <si>
    <t>payload</t>
    <phoneticPr fontId="2"/>
  </si>
  <si>
    <t>{"date":"2025-04-11 14:19:16.228","processingSystem":"BATCH","executionId":"sample-batch202504111419161830002",</t>
    <phoneticPr fontId="2"/>
  </si>
  <si>
    <t>"bootProcess":"sample-batch","logLevel":"DEBUG","requestId":"SampleBatch","loggerName":"SQL",</t>
    <phoneticPr fontId="2"/>
  </si>
  <si>
    <t>"message":"transaction commit. resource=[transaction]","userId":"batch_user"}</t>
    <phoneticPr fontId="2"/>
  </si>
  <si>
    <t>ログの種類ごとのフォーマットは、基本的にNablarchが提供するデフォルトのJSONログフォーマットを使用する。</t>
    <rPh sb="2" eb="4">
      <t>シュルイ</t>
    </rPh>
    <rPh sb="16" eb="19">
      <t>キホンテキ</t>
    </rPh>
    <rPh sb="28" eb="30">
      <t>テイキョウ</t>
    </rPh>
    <rPh sb="51" eb="53">
      <t>シヨウ</t>
    </rPh>
    <phoneticPr fontId="2"/>
  </si>
  <si>
    <t>https://nablarch.github.io/docs/6u2/doc/application_framework/application_framework/libraries/log/failure_log.html#json</t>
    <phoneticPr fontId="2"/>
  </si>
  <si>
    <t>https://nablarch.github.io/docs/6u2/doc/application_framework/application_framework/libraries/log/http_access_log.html#json</t>
    <phoneticPr fontId="2"/>
  </si>
  <si>
    <t>https://nablarch.github.io/docs/6u2/doc/application_framework/application_framework/libraries/log/sql_log.html#json</t>
    <phoneticPr fontId="2"/>
  </si>
  <si>
    <t>https://nablarch.github.io/docs/6u2/doc/application_framework/application_framework/libraries/log/performance_log.html#json</t>
    <phoneticPr fontId="2"/>
  </si>
  <si>
    <t>論理名</t>
    <rPh sb="0" eb="3">
      <t>ロンリメイ</t>
    </rPh>
    <phoneticPr fontId="2"/>
  </si>
  <si>
    <t>障害コード</t>
    <rPh sb="0" eb="2">
      <t>ショウガイ</t>
    </rPh>
    <phoneticPr fontId="2"/>
  </si>
  <si>
    <t>メッセージ</t>
    <phoneticPr fontId="2"/>
  </si>
  <si>
    <t>failureCode</t>
    <phoneticPr fontId="2"/>
  </si>
  <si>
    <t>処理対象データ</t>
    <rPh sb="0" eb="4">
      <t>ショリタイショウ</t>
    </rPh>
    <phoneticPr fontId="2"/>
  </si>
  <si>
    <t>data</t>
    <phoneticPr fontId="2"/>
  </si>
  <si>
    <t>障害を一意に識別するコード。障害内容の特定に使用する。</t>
    <phoneticPr fontId="2"/>
  </si>
  <si>
    <t>障害コードに対応するメッセージ。障害内容の特定に使用する。</t>
    <phoneticPr fontId="2"/>
  </si>
  <si>
    <t>障害が発生した処理が対象としていたデータを特定するために使用する。</t>
    <phoneticPr fontId="2"/>
  </si>
  <si>
    <t>ラベル</t>
    <phoneticPr fontId="2"/>
  </si>
  <si>
    <t>label</t>
    <phoneticPr fontId="2"/>
  </si>
  <si>
    <t>リクエストID</t>
    <phoneticPr fontId="2"/>
  </si>
  <si>
    <t>ユーザID</t>
    <phoneticPr fontId="2"/>
  </si>
  <si>
    <t>HTTPセッションID</t>
    <phoneticPr fontId="2"/>
  </si>
  <si>
    <t>sessionId</t>
    <phoneticPr fontId="2"/>
  </si>
  <si>
    <t>URL</t>
    <phoneticPr fontId="2"/>
  </si>
  <si>
    <t>url</t>
    <phoneticPr fontId="2"/>
  </si>
  <si>
    <t>HTTPメソッド</t>
    <phoneticPr fontId="2"/>
  </si>
  <si>
    <t>method</t>
    <phoneticPr fontId="2"/>
  </si>
  <si>
    <t>ポート番号</t>
    <phoneticPr fontId="2"/>
  </si>
  <si>
    <t>port</t>
    <phoneticPr fontId="2"/>
  </si>
  <si>
    <t>クライアント端末IPアドレス</t>
    <phoneticPr fontId="2"/>
  </si>
  <si>
    <t>clientIpAddress</t>
    <phoneticPr fontId="2"/>
  </si>
  <si>
    <t>リクエストパラメータ</t>
    <phoneticPr fontId="2"/>
  </si>
  <si>
    <t>parameters</t>
    <phoneticPr fontId="2"/>
  </si>
  <si>
    <t>HTTPヘッダのUser-Agent</t>
    <phoneticPr fontId="2"/>
  </si>
  <si>
    <t>clientUserAgent</t>
    <phoneticPr fontId="2"/>
  </si>
  <si>
    <t>リクエスト処理開始時のログであることを識別するラベル。</t>
    <rPh sb="5" eb="7">
      <t>ショリ</t>
    </rPh>
    <rPh sb="7" eb="9">
      <t>カイシ</t>
    </rPh>
    <rPh sb="9" eb="10">
      <t>ジ</t>
    </rPh>
    <rPh sb="19" eb="21">
      <t>シキベツ</t>
    </rPh>
    <phoneticPr fontId="2"/>
  </si>
  <si>
    <t>リクエストID。</t>
    <phoneticPr fontId="2"/>
  </si>
  <si>
    <t>HTTPセッションID。</t>
    <phoneticPr fontId="2"/>
  </si>
  <si>
    <t>リクエストされたURL。</t>
    <phoneticPr fontId="2"/>
  </si>
  <si>
    <t>リクエストのHTTPメソッド。</t>
    <phoneticPr fontId="2"/>
  </si>
  <si>
    <t>リクエストのポート番号。</t>
    <rPh sb="9" eb="11">
      <t>バンゴウ</t>
    </rPh>
    <phoneticPr fontId="2"/>
  </si>
  <si>
    <t>クライアント端末のIPアドレス。</t>
    <rPh sb="6" eb="8">
      <t>タンマツ</t>
    </rPh>
    <phoneticPr fontId="2"/>
  </si>
  <si>
    <t>リクエストのパラメータ情報。</t>
    <rPh sb="11" eb="13">
      <t>ジョウホウ</t>
    </rPh>
    <phoneticPr fontId="2"/>
  </si>
  <si>
    <t>クライアントのユーザーエージェント。</t>
    <phoneticPr fontId="2"/>
  </si>
  <si>
    <t>リクエスト処理開始時のログの出力項目</t>
    <rPh sb="14" eb="16">
      <t>シュツリョク</t>
    </rPh>
    <rPh sb="16" eb="18">
      <t>コウモク</t>
    </rPh>
    <phoneticPr fontId="2"/>
  </si>
  <si>
    <t>障害通知ログの出力項目</t>
    <rPh sb="9" eb="11">
      <t>コウモク</t>
    </rPh>
    <phoneticPr fontId="2"/>
  </si>
  <si>
    <t>CloudWatchでログを監視し、障害通知ログが出力された場合はエラーとして通知を行う。</t>
    <rPh sb="14" eb="16">
      <t>カンシ</t>
    </rPh>
    <rPh sb="18" eb="20">
      <t>ショウガイ</t>
    </rPh>
    <rPh sb="20" eb="22">
      <t>ツウチ</t>
    </rPh>
    <rPh sb="25" eb="27">
      <t>シュツリョク</t>
    </rPh>
    <rPh sb="30" eb="32">
      <t>バアイ</t>
    </rPh>
    <rPh sb="39" eb="41">
      <t>ツウチ</t>
    </rPh>
    <rPh sb="42" eb="43">
      <t>オコナ</t>
    </rPh>
    <phoneticPr fontId="2"/>
  </si>
  <si>
    <t>なお、障害通知ログがどうかはloggerNameが"MON"かどうかで判定する。</t>
    <phoneticPr fontId="2"/>
  </si>
  <si>
    <t>ログ確認時のノイズになる。また、ログの量が膨大になることでパフォーマンスおよび</t>
    <rPh sb="2" eb="5">
      <t>カクニンジ</t>
    </rPh>
    <rPh sb="19" eb="20">
      <t>リョウ</t>
    </rPh>
    <rPh sb="21" eb="23">
      <t>ボウダイ</t>
    </rPh>
    <phoneticPr fontId="2"/>
  </si>
  <si>
    <t>CloudWatch Logsのコストに影響を与えるため。</t>
    <phoneticPr fontId="2"/>
  </si>
  <si>
    <t>出力例）　"parameters":{"password":["*****"]}</t>
    <rPh sb="0" eb="2">
      <t>シュツリョク</t>
    </rPh>
    <rPh sb="2" eb="3">
      <t>レイ</t>
    </rPh>
    <phoneticPr fontId="2"/>
  </si>
  <si>
    <t>入力処理方式(REST)の場合はAPIキーから連携元システムIDを特定し、</t>
    <rPh sb="0" eb="6">
      <t>ニュウリョクショリホウシキ</t>
    </rPh>
    <rPh sb="13" eb="15">
      <t>バアイ</t>
    </rPh>
    <rPh sb="23" eb="26">
      <t>レンケイモト</t>
    </rPh>
    <rPh sb="33" eb="35">
      <t>トクテイ</t>
    </rPh>
    <phoneticPr fontId="2"/>
  </si>
  <si>
    <t>ユーザIDとして出力する。</t>
    <phoneticPr fontId="2"/>
  </si>
  <si>
    <t>データリーダを使用して読み込まれたデータオブジェクトのtoStringメソッドを</t>
    <phoneticPr fontId="2"/>
  </si>
  <si>
    <t>呼び出し出力される。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</si>
</sst>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9" x14ac:knownFonts="1">
    <font>
      <sz val="11"/>
      <color theme="1"/>
      <name val="ＭＳ Ｐゴシック"/>
      <family val="2"/>
      <charset val="128"/>
      <scheme val="minor"/>
    </font>
    <font>
      <sz val="9"/>
      <name val="ＭＳ 明朝"/>
      <family val="1"/>
      <charset val="128"/>
    </font>
    <font>
      <sz val="6"/>
      <name val="ＭＳ Ｐゴシック"/>
      <family val="2"/>
      <charset val="128"/>
      <scheme val="minor"/>
    </font>
    <font>
      <sz val="6"/>
      <name val="ＭＳ Ｐゴシック"/>
      <family val="3"/>
      <charset val="128"/>
      <scheme val="minor"/>
    </font>
    <font>
      <sz val="9"/>
      <color theme="1"/>
      <name val="ＭＳ 明朝"/>
      <family val="1"/>
      <charset val="128"/>
    </font>
    <font>
      <sz val="6"/>
      <name val="ＭＳ 明朝"/>
      <family val="1"/>
      <charset val="128"/>
    </font>
    <font>
      <sz val="8"/>
      <color theme="1"/>
      <name val="ＭＳ 明朝"/>
      <family val="1"/>
      <charset val="128"/>
    </font>
    <font>
      <u/>
      <sz val="11"/>
      <color theme="10"/>
      <name val="ＭＳ Ｐゴシック"/>
      <family val="2"/>
      <charset val="128"/>
      <scheme val="minor"/>
    </font>
    <font>
      <u/>
      <sz val="9"/>
      <color theme="10"/>
      <name val="ＭＳ Ｐゴシック"/>
      <family val="2"/>
      <charset val="128"/>
      <scheme val="minor"/>
    </font>
  </fonts>
  <fills count="4">
    <fill>
      <patternFill patternType="none"/>
    </fill>
    <fill>
      <patternFill patternType="gray125"/>
    </fill>
    <fill>
      <patternFill patternType="solid">
        <fgColor indexed="22"/>
        <bgColor indexed="64"/>
      </patternFill>
    </fill>
    <fill>
      <patternFill patternType="solid">
        <fgColor theme="8" tint="0.79998168889431442"/>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alignment vertical="center"/>
    </xf>
    <xf numFmtId="0" fontId="1" fillId="0" borderId="0"/>
    <xf numFmtId="0" fontId="1" fillId="0" borderId="0"/>
    <xf numFmtId="0" fontId="1" fillId="0" borderId="0"/>
    <xf numFmtId="0" fontId="7" fillId="0" borderId="0" applyNumberFormat="0" applyFill="0" applyBorder="0" applyAlignment="0" applyProtection="0">
      <alignment vertical="center"/>
    </xf>
  </cellStyleXfs>
  <cellXfs count="79">
    <xf numFmtId="0" fontId="0" fillId="0" borderId="0" xfId="0">
      <alignment vertical="center"/>
    </xf>
    <xf numFmtId="0" fontId="1" fillId="2" borderId="1" xfId="1" applyFill="1" applyBorder="1" applyAlignment="1">
      <alignment vertical="center"/>
    </xf>
    <xf numFmtId="0" fontId="1" fillId="2" borderId="2" xfId="1" applyFill="1" applyBorder="1" applyAlignment="1">
      <alignment vertical="center"/>
    </xf>
    <xf numFmtId="0" fontId="1" fillId="2" borderId="3" xfId="1" applyFill="1" applyBorder="1" applyAlignment="1">
      <alignment vertical="center"/>
    </xf>
    <xf numFmtId="0" fontId="4" fillId="0" borderId="0" xfId="0" applyFont="1">
      <alignment vertical="center"/>
    </xf>
    <xf numFmtId="0" fontId="1" fillId="2" borderId="4" xfId="1" applyFill="1" applyBorder="1" applyAlignment="1">
      <alignment vertical="center"/>
    </xf>
    <xf numFmtId="0" fontId="1" fillId="2" borderId="5" xfId="1" applyFill="1" applyBorder="1" applyAlignment="1">
      <alignment vertical="center"/>
    </xf>
    <xf numFmtId="0" fontId="1" fillId="2" borderId="6" xfId="1" applyFill="1" applyBorder="1" applyAlignment="1">
      <alignment vertical="center"/>
    </xf>
    <xf numFmtId="0" fontId="1" fillId="2" borderId="7" xfId="1" applyFill="1" applyBorder="1" applyAlignment="1">
      <alignment vertical="center"/>
    </xf>
    <xf numFmtId="0" fontId="1" fillId="2" borderId="8" xfId="1" applyFill="1" applyBorder="1" applyAlignment="1">
      <alignment vertical="center"/>
    </xf>
    <xf numFmtId="0" fontId="1" fillId="2" borderId="2" xfId="1" quotePrefix="1" applyFill="1" applyBorder="1" applyAlignment="1">
      <alignment vertical="center"/>
    </xf>
    <xf numFmtId="49" fontId="1" fillId="2" borderId="2" xfId="1" applyNumberFormat="1" applyFill="1" applyBorder="1" applyAlignment="1">
      <alignment vertical="center"/>
    </xf>
    <xf numFmtId="0" fontId="1" fillId="2" borderId="10" xfId="1" applyFill="1" applyBorder="1" applyAlignment="1">
      <alignment vertical="center"/>
    </xf>
    <xf numFmtId="0" fontId="1" fillId="2" borderId="11" xfId="1" applyFill="1" applyBorder="1" applyAlignment="1">
      <alignment vertical="center"/>
    </xf>
    <xf numFmtId="0" fontId="1" fillId="2" borderId="12" xfId="1" applyFill="1" applyBorder="1" applyAlignment="1">
      <alignment vertical="center"/>
    </xf>
    <xf numFmtId="0" fontId="4" fillId="0" borderId="0" xfId="0" quotePrefix="1" applyFont="1" applyAlignment="1">
      <alignment horizontal="right" vertical="center"/>
    </xf>
    <xf numFmtId="0" fontId="4" fillId="0" borderId="7" xfId="0" applyFont="1" applyBorder="1">
      <alignment vertical="center"/>
    </xf>
    <xf numFmtId="0" fontId="4" fillId="0" borderId="8" xfId="0" applyFont="1" applyBorder="1">
      <alignment vertical="center"/>
    </xf>
    <xf numFmtId="0" fontId="4" fillId="0" borderId="10" xfId="0" applyFont="1" applyBorder="1">
      <alignment vertical="center"/>
    </xf>
    <xf numFmtId="0" fontId="4" fillId="0" borderId="1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2" xfId="0" applyFont="1" applyBorder="1">
      <alignment vertical="center"/>
    </xf>
    <xf numFmtId="0" fontId="4" fillId="3" borderId="1" xfId="0" applyFont="1" applyFill="1" applyBorder="1">
      <alignment vertical="center"/>
    </xf>
    <xf numFmtId="0" fontId="4" fillId="3" borderId="2" xfId="0" applyFont="1" applyFill="1" applyBorder="1">
      <alignment vertical="center"/>
    </xf>
    <xf numFmtId="0" fontId="4" fillId="3" borderId="3" xfId="0" applyFont="1" applyFill="1" applyBorder="1">
      <alignment vertical="center"/>
    </xf>
    <xf numFmtId="0" fontId="4" fillId="0" borderId="0" xfId="0" applyFont="1" applyAlignment="1">
      <alignment horizontal="right" vertical="center"/>
    </xf>
    <xf numFmtId="0" fontId="4" fillId="0" borderId="0" xfId="0" quotePrefix="1" applyFont="1" applyAlignment="1">
      <alignment horizontal="left"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10" xfId="0" quotePrefix="1" applyFont="1" applyBorder="1">
      <alignment vertical="center"/>
    </xf>
    <xf numFmtId="0" fontId="4" fillId="0" borderId="0" xfId="0" applyFont="1" applyAlignment="1">
      <alignment horizontal="left" vertical="center"/>
    </xf>
    <xf numFmtId="0" fontId="4" fillId="0" borderId="4" xfId="0" quotePrefix="1" applyFont="1" applyBorder="1">
      <alignment vertical="center"/>
    </xf>
    <xf numFmtId="0" fontId="6" fillId="0" borderId="4" xfId="0" applyFont="1" applyBorder="1">
      <alignment vertical="center"/>
    </xf>
    <xf numFmtId="0" fontId="6" fillId="0" borderId="7" xfId="0" applyFont="1" applyBorder="1">
      <alignment vertical="center"/>
    </xf>
    <xf numFmtId="0" fontId="6" fillId="0" borderId="10" xfId="0" applyFont="1" applyBorder="1">
      <alignment vertical="center"/>
    </xf>
    <xf numFmtId="0" fontId="6" fillId="0" borderId="0" xfId="0" applyFont="1">
      <alignment vertical="center"/>
    </xf>
    <xf numFmtId="0" fontId="4" fillId="3" borderId="10" xfId="0" applyFont="1" applyFill="1" applyBorder="1">
      <alignment vertical="center"/>
    </xf>
    <xf numFmtId="0" fontId="4" fillId="3" borderId="11" xfId="0" applyFont="1" applyFill="1" applyBorder="1">
      <alignment vertical="center"/>
    </xf>
    <xf numFmtId="0" fontId="4" fillId="3" borderId="12" xfId="0" applyFont="1" applyFill="1" applyBorder="1">
      <alignment vertical="center"/>
    </xf>
    <xf numFmtId="0" fontId="4" fillId="3" borderId="4" xfId="0" applyFont="1" applyFill="1" applyBorder="1">
      <alignment vertical="center"/>
    </xf>
    <xf numFmtId="0" fontId="4" fillId="3" borderId="5" xfId="0" applyFont="1" applyFill="1" applyBorder="1">
      <alignment vertical="center"/>
    </xf>
    <xf numFmtId="0" fontId="4" fillId="3" borderId="6" xfId="0" applyFont="1" applyFill="1" applyBorder="1">
      <alignment vertical="center"/>
    </xf>
    <xf numFmtId="0" fontId="4" fillId="0" borderId="10" xfId="0" applyFont="1" applyBorder="1" applyAlignment="1">
      <alignment horizontal="left" vertical="top"/>
    </xf>
    <xf numFmtId="0" fontId="4" fillId="0" borderId="4" xfId="0" applyFont="1" applyBorder="1" applyAlignment="1">
      <alignment horizontal="left" vertical="top"/>
    </xf>
    <xf numFmtId="0" fontId="4" fillId="0" borderId="0" xfId="0" applyFont="1" applyBorder="1">
      <alignment vertical="center"/>
    </xf>
    <xf numFmtId="0" fontId="6" fillId="0" borderId="0" xfId="0" applyFont="1" applyBorder="1">
      <alignment vertical="center"/>
    </xf>
    <xf numFmtId="0" fontId="4" fillId="0" borderId="1" xfId="0" applyFont="1" applyBorder="1" applyAlignment="1">
      <alignment horizontal="left" vertical="center"/>
    </xf>
    <xf numFmtId="0" fontId="4" fillId="0" borderId="4" xfId="0" applyFont="1" applyBorder="1" applyAlignment="1">
      <alignment horizontal="left" vertical="center"/>
    </xf>
    <xf numFmtId="0" fontId="4" fillId="0" borderId="10" xfId="0" applyFont="1" applyBorder="1" applyAlignment="1">
      <alignment horizontal="left" vertical="center"/>
    </xf>
    <xf numFmtId="0" fontId="4" fillId="3" borderId="1" xfId="0" applyFont="1" applyFill="1" applyBorder="1" applyAlignment="1">
      <alignment horizontal="left" vertical="center"/>
    </xf>
    <xf numFmtId="0" fontId="4" fillId="0" borderId="7" xfId="0" applyFont="1" applyBorder="1" applyAlignment="1">
      <alignment horizontal="left" vertical="center"/>
    </xf>
    <xf numFmtId="0" fontId="8" fillId="0" borderId="4" xfId="4" applyFont="1" applyBorder="1" applyAlignment="1">
      <alignment horizontal="left" vertical="top" wrapText="1"/>
    </xf>
    <xf numFmtId="0" fontId="8" fillId="0" borderId="5" xfId="4" applyFont="1" applyBorder="1" applyAlignment="1">
      <alignment horizontal="left" vertical="top" wrapText="1"/>
    </xf>
    <xf numFmtId="0" fontId="8" fillId="0" borderId="6" xfId="4" applyFont="1" applyBorder="1" applyAlignment="1">
      <alignment horizontal="left" vertical="top" wrapText="1"/>
    </xf>
    <xf numFmtId="0" fontId="8" fillId="0" borderId="10" xfId="4" applyFont="1" applyBorder="1" applyAlignment="1">
      <alignment horizontal="left" vertical="top" wrapText="1"/>
    </xf>
    <xf numFmtId="0" fontId="8" fillId="0" borderId="11" xfId="4" applyFont="1" applyBorder="1" applyAlignment="1">
      <alignment horizontal="left" vertical="top" wrapText="1"/>
    </xf>
    <xf numFmtId="0" fontId="8" fillId="0" borderId="12" xfId="4" applyFont="1" applyBorder="1" applyAlignment="1">
      <alignment horizontal="left" vertical="top" wrapText="1"/>
    </xf>
    <xf numFmtId="0" fontId="4" fillId="0" borderId="1" xfId="2" applyFont="1" applyBorder="1" applyAlignment="1">
      <alignment vertical="center"/>
    </xf>
    <xf numFmtId="0" fontId="4" fillId="0" borderId="2" xfId="2" applyFont="1" applyBorder="1" applyAlignment="1">
      <alignment vertical="center"/>
    </xf>
    <xf numFmtId="0" fontId="4" fillId="0" borderId="3" xfId="2" applyFont="1" applyBorder="1" applyAlignment="1">
      <alignment vertical="center"/>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14" fontId="1" fillId="0" borderId="1" xfId="1" applyNumberFormat="1" applyBorder="1" applyAlignment="1">
      <alignment horizontal="left" vertical="center"/>
    </xf>
    <xf numFmtId="14" fontId="1" fillId="0" borderId="2" xfId="1" applyNumberFormat="1" applyBorder="1" applyAlignment="1">
      <alignment horizontal="left" vertical="center"/>
    </xf>
    <xf numFmtId="14" fontId="1" fillId="0" borderId="3" xfId="1" applyNumberFormat="1" applyBorder="1" applyAlignment="1">
      <alignment horizontal="left" vertical="center"/>
    </xf>
    <xf numFmtId="176" fontId="1" fillId="0" borderId="1" xfId="3" applyNumberFormat="1" applyBorder="1" applyAlignment="1">
      <alignment horizontal="right" vertical="center"/>
    </xf>
    <xf numFmtId="176" fontId="1" fillId="0" borderId="2" xfId="3" applyNumberFormat="1" applyBorder="1" applyAlignment="1">
      <alignment horizontal="right" vertical="center"/>
    </xf>
    <xf numFmtId="176" fontId="1" fillId="0" borderId="3" xfId="3" applyNumberFormat="1" applyBorder="1" applyAlignment="1">
      <alignment horizontal="right" vertical="center"/>
    </xf>
    <xf numFmtId="0" fontId="4" fillId="0" borderId="4" xfId="1" applyFont="1" applyBorder="1" applyAlignment="1">
      <alignment horizontal="left" vertical="top" wrapText="1"/>
    </xf>
    <xf numFmtId="0" fontId="4" fillId="0" borderId="5" xfId="1" applyFont="1" applyBorder="1" applyAlignment="1">
      <alignment horizontal="left" vertical="top" wrapText="1"/>
    </xf>
    <xf numFmtId="0" fontId="4" fillId="0" borderId="6" xfId="1" applyFont="1" applyBorder="1" applyAlignment="1">
      <alignment horizontal="left" vertical="top" wrapText="1"/>
    </xf>
    <xf numFmtId="0" fontId="4" fillId="0" borderId="10" xfId="1" applyFont="1" applyBorder="1" applyAlignment="1">
      <alignment horizontal="left" vertical="top" wrapText="1"/>
    </xf>
    <xf numFmtId="0" fontId="4" fillId="0" borderId="11" xfId="1" applyFont="1" applyBorder="1" applyAlignment="1">
      <alignment horizontal="left" vertical="top" wrapText="1"/>
    </xf>
    <xf numFmtId="0" fontId="4" fillId="0" borderId="12" xfId="1" applyFont="1" applyBorder="1" applyAlignment="1">
      <alignment horizontal="left" vertical="top" wrapText="1"/>
    </xf>
    <xf numFmtId="0" fontId="4" fillId="0" borderId="9" xfId="2" applyFont="1" applyBorder="1" applyAlignment="1">
      <alignment horizontal="left" vertical="center"/>
    </xf>
  </cellXfs>
  <cellStyles count="5">
    <cellStyle name="ハイパーリンク" xfId="4" builtinId="8"/>
    <cellStyle name="標準" xfId="0" builtinId="0"/>
    <cellStyle name="標準 3 2 3" xfId="3" xr:uid="{00000000-0005-0000-0000-000001000000}"/>
    <cellStyle name="標準_画面標準" xfId="1" xr:uid="{00000000-0005-0000-0000-000002000000}"/>
    <cellStyle name="標準_画面標準定義"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2">
          <a:schemeClr val="accent1"/>
        </a:fillRef>
        <a:effectRef idx="1">
          <a:schemeClr val="accent1"/>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nablarch.github.io/docs/6u2/doc/application_framework/application_framework/libraries/log/http_access_log.html" TargetMode="External"/><Relationship Id="rId2" Type="http://schemas.openxmlformats.org/officeDocument/2006/relationships/hyperlink" Target="https://nablarch.github.io/docs/6u2/doc/application_framework/application_framework/libraries/log/failure_log.html" TargetMode="External"/><Relationship Id="rId1" Type="http://schemas.openxmlformats.org/officeDocument/2006/relationships/hyperlink" Target="https://nablarch.github.io/docs/6u2/doc/application_framework/application_framework/libraries/log/sql_log.html" TargetMode="External"/><Relationship Id="rId5" Type="http://schemas.openxmlformats.org/officeDocument/2006/relationships/printerSettings" Target="../printerSettings/printerSettings1.bin"/><Relationship Id="rId4" Type="http://schemas.openxmlformats.org/officeDocument/2006/relationships/hyperlink" Target="https://nablarch.github.io/docs/6u2/doc/application_framework/application_framework/libraries/log/performance_lo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I235"/>
  <sheetViews>
    <sheetView showGridLines="0" tabSelected="1" view="pageBreakPreview" zoomScaleNormal="100" zoomScaleSheetLayoutView="100" workbookViewId="0"/>
  </sheetViews>
  <sheetFormatPr defaultColWidth="3.625" defaultRowHeight="14.25" customHeight="1" x14ac:dyDescent="0.15"/>
  <cols>
    <col min="1" max="16384" width="3.625" style="4"/>
  </cols>
  <sheetData>
    <row r="1" spans="1:35" ht="14.25" customHeight="1" x14ac:dyDescent="0.15">
      <c r="A1" s="1" t="s">
        <v>0</v>
      </c>
      <c r="B1" s="2"/>
      <c r="C1" s="2"/>
      <c r="D1" s="3"/>
      <c r="E1" s="60"/>
      <c r="F1" s="61"/>
      <c r="G1" s="61"/>
      <c r="H1" s="61"/>
      <c r="I1" s="61"/>
      <c r="J1" s="61"/>
      <c r="K1" s="61"/>
      <c r="L1" s="61"/>
      <c r="M1" s="61"/>
      <c r="N1" s="61"/>
      <c r="O1" s="62"/>
      <c r="P1" s="1" t="s">
        <v>1</v>
      </c>
      <c r="Q1" s="2"/>
      <c r="R1" s="63" t="s">
        <v>2</v>
      </c>
      <c r="S1" s="64"/>
      <c r="T1" s="64"/>
      <c r="U1" s="64"/>
      <c r="V1" s="64"/>
      <c r="W1" s="64"/>
      <c r="X1" s="65"/>
      <c r="Y1" s="1" t="s">
        <v>3</v>
      </c>
      <c r="Z1" s="3"/>
      <c r="AA1" s="66"/>
      <c r="AB1" s="67"/>
      <c r="AC1" s="67"/>
      <c r="AD1" s="67"/>
      <c r="AE1" s="68"/>
      <c r="AF1" s="69"/>
      <c r="AG1" s="70"/>
      <c r="AH1" s="70"/>
      <c r="AI1" s="71"/>
    </row>
    <row r="2" spans="1:35" ht="14.25" customHeight="1" x14ac:dyDescent="0.15">
      <c r="A2" s="5" t="s">
        <v>4</v>
      </c>
      <c r="B2" s="6"/>
      <c r="C2" s="6"/>
      <c r="D2" s="7"/>
      <c r="E2" s="60"/>
      <c r="F2" s="61"/>
      <c r="G2" s="61"/>
      <c r="H2" s="61"/>
      <c r="I2" s="61"/>
      <c r="J2" s="61"/>
      <c r="K2" s="61"/>
      <c r="L2" s="61"/>
      <c r="M2" s="61"/>
      <c r="N2" s="61"/>
      <c r="O2" s="62"/>
      <c r="P2" s="8" t="s">
        <v>5</v>
      </c>
      <c r="Q2" s="9"/>
      <c r="R2" s="72" t="s">
        <v>6</v>
      </c>
      <c r="S2" s="73"/>
      <c r="T2" s="73"/>
      <c r="U2" s="73"/>
      <c r="V2" s="73"/>
      <c r="W2" s="73"/>
      <c r="X2" s="74"/>
      <c r="Y2" s="1" t="s">
        <v>7</v>
      </c>
      <c r="Z2" s="3"/>
      <c r="AA2" s="66"/>
      <c r="AB2" s="67"/>
      <c r="AC2" s="67"/>
      <c r="AD2" s="67"/>
      <c r="AE2" s="68"/>
      <c r="AF2" s="69"/>
      <c r="AG2" s="70"/>
      <c r="AH2" s="70"/>
      <c r="AI2" s="71"/>
    </row>
    <row r="3" spans="1:35" ht="14.25" customHeight="1" x14ac:dyDescent="0.15">
      <c r="A3" s="1" t="s">
        <v>8</v>
      </c>
      <c r="B3" s="10"/>
      <c r="C3" s="11"/>
      <c r="D3" s="3"/>
      <c r="E3" s="78"/>
      <c r="F3" s="78"/>
      <c r="G3" s="78"/>
      <c r="H3" s="78"/>
      <c r="I3" s="78"/>
      <c r="J3" s="78"/>
      <c r="K3" s="78"/>
      <c r="L3" s="78"/>
      <c r="M3" s="78"/>
      <c r="N3" s="78"/>
      <c r="O3" s="78"/>
      <c r="P3" s="12"/>
      <c r="Q3" s="13"/>
      <c r="R3" s="75"/>
      <c r="S3" s="76"/>
      <c r="T3" s="76"/>
      <c r="U3" s="76"/>
      <c r="V3" s="76"/>
      <c r="W3" s="76"/>
      <c r="X3" s="77"/>
      <c r="Y3" s="12" t="s">
        <v>9</v>
      </c>
      <c r="Z3" s="14"/>
      <c r="AA3" s="66"/>
      <c r="AB3" s="67"/>
      <c r="AC3" s="67"/>
      <c r="AD3" s="67"/>
      <c r="AE3" s="68"/>
      <c r="AF3" s="69"/>
      <c r="AG3" s="70"/>
      <c r="AH3" s="70"/>
      <c r="AI3" s="71"/>
    </row>
    <row r="4" spans="1:35" ht="11.25" customHeight="1" x14ac:dyDescent="0.15"/>
    <row r="5" spans="1:35" ht="11.25" customHeight="1" x14ac:dyDescent="0.15">
      <c r="B5" s="15" t="s">
        <v>10</v>
      </c>
      <c r="C5" s="4" t="s">
        <v>11</v>
      </c>
    </row>
    <row r="6" spans="1:35" ht="11.25" customHeight="1" x14ac:dyDescent="0.15"/>
    <row r="7" spans="1:35" ht="11.25" customHeight="1" x14ac:dyDescent="0.15">
      <c r="C7" s="15" t="str">
        <f>$B$5&amp;"13."</f>
        <v>7.13.</v>
      </c>
      <c r="D7" s="4" t="s">
        <v>12</v>
      </c>
    </row>
    <row r="8" spans="1:35" ht="11.25" customHeight="1" x14ac:dyDescent="0.15">
      <c r="C8" s="15"/>
      <c r="D8" s="4" t="s">
        <v>13</v>
      </c>
    </row>
    <row r="9" spans="1:35" ht="11.25" customHeight="1" x14ac:dyDescent="0.15"/>
    <row r="10" spans="1:35" ht="11.25" customHeight="1" x14ac:dyDescent="0.15">
      <c r="D10" s="15" t="str">
        <f>$C$7&amp;"1."</f>
        <v>7.13.1.</v>
      </c>
      <c r="E10" s="4" t="s">
        <v>14</v>
      </c>
    </row>
    <row r="11" spans="1:35" ht="11.25" customHeight="1" x14ac:dyDescent="0.15">
      <c r="D11" s="15"/>
      <c r="E11" s="15" t="str">
        <f>$D$10&amp;"1."</f>
        <v>7.13.1.1.</v>
      </c>
      <c r="F11" s="4" t="s">
        <v>15</v>
      </c>
    </row>
    <row r="12" spans="1:35" ht="11.25" customHeight="1" x14ac:dyDescent="0.15">
      <c r="D12" s="15"/>
      <c r="E12" s="15"/>
      <c r="F12" s="4" t="s">
        <v>16</v>
      </c>
    </row>
    <row r="13" spans="1:35" ht="11.25" customHeight="1" x14ac:dyDescent="0.15">
      <c r="D13" s="15"/>
      <c r="E13" s="15"/>
      <c r="F13" s="42" t="s">
        <v>15</v>
      </c>
      <c r="G13" s="43"/>
      <c r="H13" s="44"/>
      <c r="I13" s="43" t="s">
        <v>17</v>
      </c>
      <c r="J13" s="43"/>
      <c r="K13" s="43"/>
      <c r="L13" s="44"/>
      <c r="M13" s="43" t="s">
        <v>18</v>
      </c>
      <c r="N13" s="43"/>
      <c r="O13" s="43"/>
      <c r="P13" s="43"/>
      <c r="Q13" s="43"/>
      <c r="R13" s="43"/>
      <c r="S13" s="43"/>
      <c r="T13" s="43"/>
      <c r="U13" s="43"/>
      <c r="V13" s="43"/>
      <c r="W13" s="43"/>
      <c r="X13" s="43"/>
      <c r="Y13" s="43"/>
      <c r="Z13" s="43"/>
      <c r="AA13" s="43"/>
      <c r="AB13" s="43"/>
      <c r="AC13" s="43"/>
      <c r="AD13" s="43"/>
      <c r="AE13" s="43"/>
      <c r="AF13" s="43"/>
      <c r="AG13" s="43"/>
      <c r="AH13" s="43"/>
      <c r="AI13" s="44"/>
    </row>
    <row r="14" spans="1:35" ht="11.25" customHeight="1" x14ac:dyDescent="0.15">
      <c r="D14" s="15"/>
      <c r="E14" s="15"/>
      <c r="F14" s="39"/>
      <c r="G14" s="40"/>
      <c r="H14" s="41"/>
      <c r="I14" s="40" t="s">
        <v>19</v>
      </c>
      <c r="J14" s="40"/>
      <c r="K14" s="40"/>
      <c r="L14" s="41"/>
      <c r="M14" s="40"/>
      <c r="N14" s="40"/>
      <c r="O14" s="40"/>
      <c r="P14" s="40"/>
      <c r="Q14" s="40"/>
      <c r="R14" s="40"/>
      <c r="S14" s="40"/>
      <c r="T14" s="40"/>
      <c r="U14" s="40"/>
      <c r="V14" s="40"/>
      <c r="W14" s="40"/>
      <c r="X14" s="40"/>
      <c r="Y14" s="40"/>
      <c r="Z14" s="40"/>
      <c r="AA14" s="40"/>
      <c r="AB14" s="40"/>
      <c r="AC14" s="40"/>
      <c r="AD14" s="40"/>
      <c r="AE14" s="40"/>
      <c r="AF14" s="40"/>
      <c r="AG14" s="40"/>
      <c r="AH14" s="40"/>
      <c r="AI14" s="41"/>
    </row>
    <row r="15" spans="1:35" ht="11.25" customHeight="1" x14ac:dyDescent="0.15">
      <c r="D15" s="15"/>
      <c r="E15" s="15"/>
      <c r="F15" s="34" t="s">
        <v>20</v>
      </c>
      <c r="G15" s="21"/>
      <c r="H15" s="22"/>
      <c r="I15" s="21" t="s">
        <v>21</v>
      </c>
      <c r="J15" s="21"/>
      <c r="K15" s="21"/>
      <c r="L15" s="22"/>
      <c r="M15" s="21" t="s">
        <v>22</v>
      </c>
      <c r="N15" s="21"/>
      <c r="O15" s="21"/>
      <c r="P15" s="21"/>
      <c r="Q15" s="21"/>
      <c r="R15" s="21"/>
      <c r="S15" s="21"/>
      <c r="T15" s="21"/>
      <c r="U15" s="21"/>
      <c r="V15" s="21"/>
      <c r="W15" s="21"/>
      <c r="X15" s="21"/>
      <c r="Y15" s="21"/>
      <c r="Z15" s="21"/>
      <c r="AA15" s="21"/>
      <c r="AB15" s="21"/>
      <c r="AC15" s="21"/>
      <c r="AD15" s="21"/>
      <c r="AE15" s="21"/>
      <c r="AF15" s="21"/>
      <c r="AG15" s="21"/>
      <c r="AH15" s="21"/>
      <c r="AI15" s="22"/>
    </row>
    <row r="16" spans="1:35" ht="11.25" customHeight="1" x14ac:dyDescent="0.15">
      <c r="D16" s="15"/>
      <c r="E16" s="15"/>
      <c r="F16" s="32"/>
      <c r="G16" s="19"/>
      <c r="H16" s="23"/>
      <c r="I16" s="19"/>
      <c r="J16" s="19"/>
      <c r="K16" s="19"/>
      <c r="L16" s="23"/>
      <c r="M16" s="19" t="s">
        <v>23</v>
      </c>
      <c r="N16" s="19"/>
      <c r="O16" s="19"/>
      <c r="P16" s="19"/>
      <c r="Q16" s="19"/>
      <c r="R16" s="19"/>
      <c r="S16" s="19"/>
      <c r="T16" s="19"/>
      <c r="U16" s="19"/>
      <c r="V16" s="19"/>
      <c r="W16" s="19"/>
      <c r="X16" s="19"/>
      <c r="Y16" s="19"/>
      <c r="Z16" s="19"/>
      <c r="AA16" s="19"/>
      <c r="AB16" s="19"/>
      <c r="AC16" s="19"/>
      <c r="AD16" s="19"/>
      <c r="AE16" s="19"/>
      <c r="AF16" s="19"/>
      <c r="AG16" s="19"/>
      <c r="AH16" s="19"/>
      <c r="AI16" s="23"/>
    </row>
    <row r="17" spans="4:35" ht="11.25" customHeight="1" x14ac:dyDescent="0.15">
      <c r="D17" s="15"/>
      <c r="E17" s="15"/>
      <c r="F17" s="16" t="s">
        <v>24</v>
      </c>
      <c r="H17" s="17"/>
      <c r="I17" s="4" t="s">
        <v>25</v>
      </c>
      <c r="L17" s="17"/>
      <c r="M17" s="4" t="s">
        <v>26</v>
      </c>
      <c r="AI17" s="17"/>
    </row>
    <row r="18" spans="4:35" ht="11.25" customHeight="1" x14ac:dyDescent="0.15">
      <c r="D18" s="15"/>
      <c r="E18" s="15"/>
      <c r="F18" s="18"/>
      <c r="G18" s="19"/>
      <c r="H18" s="23"/>
      <c r="I18" s="19"/>
      <c r="J18" s="19"/>
      <c r="K18" s="19"/>
      <c r="L18" s="23"/>
      <c r="M18" s="19" t="s">
        <v>27</v>
      </c>
      <c r="N18" s="19"/>
      <c r="O18" s="19"/>
      <c r="P18" s="19"/>
      <c r="Q18" s="19"/>
      <c r="R18" s="19"/>
      <c r="S18" s="19"/>
      <c r="T18" s="19"/>
      <c r="U18" s="19"/>
      <c r="V18" s="19"/>
      <c r="W18" s="19"/>
      <c r="X18" s="19"/>
      <c r="Y18" s="19"/>
      <c r="Z18" s="19"/>
      <c r="AA18" s="19"/>
      <c r="AB18" s="19"/>
      <c r="AC18" s="19"/>
      <c r="AD18" s="19"/>
      <c r="AE18" s="19"/>
      <c r="AF18" s="19"/>
      <c r="AG18" s="19"/>
      <c r="AH18" s="19"/>
      <c r="AI18" s="23"/>
    </row>
    <row r="19" spans="4:35" ht="11.25" customHeight="1" x14ac:dyDescent="0.15">
      <c r="D19" s="15"/>
      <c r="E19" s="15"/>
      <c r="F19" s="16" t="s">
        <v>28</v>
      </c>
      <c r="H19" s="17"/>
      <c r="I19" s="4" t="s">
        <v>29</v>
      </c>
      <c r="L19" s="17"/>
      <c r="M19" s="4" t="s">
        <v>30</v>
      </c>
      <c r="AI19" s="17"/>
    </row>
    <row r="20" spans="4:35" ht="11.25" customHeight="1" x14ac:dyDescent="0.15">
      <c r="D20" s="15"/>
      <c r="E20" s="15"/>
      <c r="F20" s="16"/>
      <c r="H20" s="17"/>
      <c r="L20" s="17"/>
      <c r="M20" s="4" t="s">
        <v>31</v>
      </c>
      <c r="AI20" s="17"/>
    </row>
    <row r="21" spans="4:35" ht="11.25" customHeight="1" x14ac:dyDescent="0.15">
      <c r="D21" s="15"/>
      <c r="E21" s="15"/>
      <c r="F21" s="18"/>
      <c r="G21" s="19"/>
      <c r="H21" s="23"/>
      <c r="I21" s="19"/>
      <c r="J21" s="19"/>
      <c r="K21" s="19"/>
      <c r="L21" s="23"/>
      <c r="M21" s="19" t="s">
        <v>32</v>
      </c>
      <c r="N21" s="19"/>
      <c r="O21" s="19"/>
      <c r="P21" s="19"/>
      <c r="Q21" s="19"/>
      <c r="R21" s="19"/>
      <c r="S21" s="19"/>
      <c r="T21" s="19"/>
      <c r="U21" s="19"/>
      <c r="V21" s="19"/>
      <c r="W21" s="19"/>
      <c r="X21" s="19"/>
      <c r="Y21" s="19"/>
      <c r="Z21" s="19"/>
      <c r="AA21" s="19"/>
      <c r="AB21" s="19"/>
      <c r="AC21" s="19"/>
      <c r="AD21" s="19"/>
      <c r="AE21" s="19"/>
      <c r="AF21" s="19"/>
      <c r="AG21" s="19"/>
      <c r="AH21" s="19"/>
      <c r="AI21" s="23"/>
    </row>
    <row r="22" spans="4:35" ht="11.25" customHeight="1" x14ac:dyDescent="0.15">
      <c r="D22" s="15"/>
      <c r="E22" s="15"/>
      <c r="F22" s="16" t="s">
        <v>33</v>
      </c>
      <c r="H22" s="17"/>
      <c r="I22" s="4" t="s">
        <v>34</v>
      </c>
      <c r="L22" s="17"/>
      <c r="M22" s="4" t="s">
        <v>35</v>
      </c>
      <c r="AI22" s="17"/>
    </row>
    <row r="23" spans="4:35" ht="11.25" customHeight="1" x14ac:dyDescent="0.15">
      <c r="D23" s="15"/>
      <c r="E23" s="15"/>
      <c r="F23" s="18"/>
      <c r="G23" s="19"/>
      <c r="H23" s="23"/>
      <c r="I23" s="19"/>
      <c r="J23" s="19"/>
      <c r="K23" s="19"/>
      <c r="L23" s="23"/>
      <c r="M23" s="19"/>
      <c r="N23" s="19"/>
      <c r="O23" s="19"/>
      <c r="P23" s="19"/>
      <c r="Q23" s="19"/>
      <c r="R23" s="19"/>
      <c r="S23" s="19"/>
      <c r="T23" s="19"/>
      <c r="U23" s="19"/>
      <c r="V23" s="19"/>
      <c r="W23" s="19"/>
      <c r="X23" s="19"/>
      <c r="Y23" s="19"/>
      <c r="Z23" s="19"/>
      <c r="AA23" s="19"/>
      <c r="AB23" s="19"/>
      <c r="AC23" s="19"/>
      <c r="AD23" s="19"/>
      <c r="AE23" s="19"/>
      <c r="AF23" s="19"/>
      <c r="AG23" s="19"/>
      <c r="AH23" s="19"/>
      <c r="AI23" s="23"/>
    </row>
    <row r="24" spans="4:35" ht="11.25" customHeight="1" x14ac:dyDescent="0.15">
      <c r="D24" s="15"/>
      <c r="E24" s="15"/>
      <c r="F24" s="16" t="s">
        <v>36</v>
      </c>
      <c r="H24" s="17"/>
      <c r="I24" s="4" t="s">
        <v>37</v>
      </c>
      <c r="L24" s="17"/>
      <c r="M24" s="4" t="s">
        <v>38</v>
      </c>
      <c r="AI24" s="17"/>
    </row>
    <row r="25" spans="4:35" ht="11.25" customHeight="1" x14ac:dyDescent="0.15">
      <c r="D25" s="15"/>
      <c r="E25" s="15"/>
      <c r="F25" s="18"/>
      <c r="G25" s="19"/>
      <c r="H25" s="23"/>
      <c r="I25" s="19"/>
      <c r="J25" s="19"/>
      <c r="K25" s="19"/>
      <c r="L25" s="23"/>
      <c r="M25" s="19"/>
      <c r="N25" s="19"/>
      <c r="O25" s="19"/>
      <c r="P25" s="19"/>
      <c r="Q25" s="19"/>
      <c r="R25" s="19"/>
      <c r="S25" s="19"/>
      <c r="T25" s="19"/>
      <c r="U25" s="19"/>
      <c r="V25" s="19"/>
      <c r="W25" s="19"/>
      <c r="X25" s="19"/>
      <c r="Y25" s="19"/>
      <c r="Z25" s="19"/>
      <c r="AA25" s="19"/>
      <c r="AB25" s="19"/>
      <c r="AC25" s="19"/>
      <c r="AD25" s="19"/>
      <c r="AE25" s="19"/>
      <c r="AF25" s="19"/>
      <c r="AG25" s="19"/>
      <c r="AH25" s="19"/>
      <c r="AI25" s="23"/>
    </row>
    <row r="26" spans="4:35" ht="11.25" customHeight="1" x14ac:dyDescent="0.15">
      <c r="D26" s="15"/>
      <c r="E26" s="15"/>
      <c r="F26" s="16" t="s">
        <v>39</v>
      </c>
      <c r="H26" s="17"/>
      <c r="I26" s="4" t="s">
        <v>40</v>
      </c>
      <c r="L26" s="17"/>
      <c r="M26" s="4" t="s">
        <v>41</v>
      </c>
      <c r="AI26" s="17"/>
    </row>
    <row r="27" spans="4:35" ht="11.25" customHeight="1" x14ac:dyDescent="0.15">
      <c r="D27" s="15"/>
      <c r="E27" s="15"/>
      <c r="F27" s="18"/>
      <c r="G27" s="19"/>
      <c r="H27" s="23"/>
      <c r="I27" s="19"/>
      <c r="J27" s="19"/>
      <c r="K27" s="19"/>
      <c r="L27" s="23"/>
      <c r="M27" s="19"/>
      <c r="N27" s="19"/>
      <c r="O27" s="19"/>
      <c r="P27" s="19"/>
      <c r="Q27" s="19"/>
      <c r="R27" s="19"/>
      <c r="S27" s="19"/>
      <c r="T27" s="19"/>
      <c r="U27" s="19"/>
      <c r="V27" s="19"/>
      <c r="W27" s="19"/>
      <c r="X27" s="19"/>
      <c r="Y27" s="19"/>
      <c r="Z27" s="19"/>
      <c r="AA27" s="19"/>
      <c r="AB27" s="19"/>
      <c r="AC27" s="19"/>
      <c r="AD27" s="19"/>
      <c r="AE27" s="19"/>
      <c r="AF27" s="19"/>
      <c r="AG27" s="19"/>
      <c r="AH27" s="19"/>
      <c r="AI27" s="23"/>
    </row>
    <row r="28" spans="4:35" ht="11.25" customHeight="1" x14ac:dyDescent="0.15">
      <c r="D28" s="15"/>
      <c r="E28" s="15"/>
    </row>
    <row r="29" spans="4:35" ht="11.25" customHeight="1" x14ac:dyDescent="0.15">
      <c r="D29" s="15"/>
      <c r="E29" s="15"/>
      <c r="F29" s="4" t="s">
        <v>42</v>
      </c>
    </row>
    <row r="30" spans="4:35" ht="11.25" customHeight="1" x14ac:dyDescent="0.15">
      <c r="D30" s="15"/>
      <c r="E30" s="15"/>
      <c r="F30" s="24" t="s">
        <v>15</v>
      </c>
      <c r="G30" s="25"/>
      <c r="H30" s="26"/>
      <c r="I30" s="25" t="s">
        <v>43</v>
      </c>
      <c r="J30" s="25"/>
      <c r="K30" s="25"/>
      <c r="L30" s="25"/>
      <c r="M30" s="25"/>
      <c r="N30" s="25"/>
      <c r="O30" s="25"/>
      <c r="P30" s="26"/>
      <c r="Q30" s="25" t="s">
        <v>44</v>
      </c>
      <c r="R30" s="25"/>
      <c r="S30" s="25"/>
      <c r="T30" s="25"/>
      <c r="U30" s="25"/>
      <c r="V30" s="25"/>
      <c r="W30" s="25"/>
      <c r="X30" s="25"/>
      <c r="Y30" s="25"/>
      <c r="Z30" s="25"/>
      <c r="AA30" s="25"/>
      <c r="AB30" s="25"/>
      <c r="AC30" s="25"/>
      <c r="AD30" s="25"/>
      <c r="AE30" s="25"/>
      <c r="AF30" s="25"/>
      <c r="AG30" s="25"/>
      <c r="AH30" s="25"/>
      <c r="AI30" s="26"/>
    </row>
    <row r="31" spans="4:35" ht="11.25" customHeight="1" x14ac:dyDescent="0.15">
      <c r="D31" s="15"/>
      <c r="E31" s="15"/>
      <c r="F31" s="29" t="str">
        <f>F15</f>
        <v>FATAL</v>
      </c>
      <c r="G31" s="30"/>
      <c r="H31" s="31"/>
      <c r="I31" s="30" t="s">
        <v>45</v>
      </c>
      <c r="J31" s="30"/>
      <c r="K31" s="30"/>
      <c r="L31" s="30"/>
      <c r="M31" s="30"/>
      <c r="N31" s="30"/>
      <c r="O31" s="30"/>
      <c r="P31" s="31"/>
      <c r="Q31" s="30" t="s">
        <v>46</v>
      </c>
      <c r="R31" s="30"/>
      <c r="S31" s="30"/>
      <c r="T31" s="30"/>
      <c r="U31" s="30"/>
      <c r="V31" s="30"/>
      <c r="W31" s="30"/>
      <c r="X31" s="30"/>
      <c r="Y31" s="30"/>
      <c r="Z31" s="30"/>
      <c r="AA31" s="30"/>
      <c r="AB31" s="30"/>
      <c r="AC31" s="30"/>
      <c r="AD31" s="30"/>
      <c r="AE31" s="30"/>
      <c r="AF31" s="30"/>
      <c r="AG31" s="30"/>
      <c r="AH31" s="30"/>
      <c r="AI31" s="31"/>
    </row>
    <row r="32" spans="4:35" ht="11.25" customHeight="1" x14ac:dyDescent="0.15">
      <c r="D32" s="15"/>
      <c r="E32" s="15"/>
      <c r="F32" s="29" t="str">
        <f>F17</f>
        <v>ERROR</v>
      </c>
      <c r="G32" s="30"/>
      <c r="H32" s="31"/>
      <c r="I32" s="30" t="s">
        <v>45</v>
      </c>
      <c r="J32" s="30"/>
      <c r="K32" s="30"/>
      <c r="L32" s="30"/>
      <c r="M32" s="30"/>
      <c r="N32" s="30"/>
      <c r="O32" s="30"/>
      <c r="P32" s="31"/>
      <c r="Q32" s="30" t="s">
        <v>46</v>
      </c>
      <c r="R32" s="30"/>
      <c r="S32" s="30"/>
      <c r="T32" s="30"/>
      <c r="U32" s="30"/>
      <c r="V32" s="30"/>
      <c r="W32" s="30"/>
      <c r="X32" s="30"/>
      <c r="Y32" s="30"/>
      <c r="Z32" s="30"/>
      <c r="AA32" s="30"/>
      <c r="AB32" s="30"/>
      <c r="AC32" s="30"/>
      <c r="AD32" s="30"/>
      <c r="AE32" s="30"/>
      <c r="AF32" s="30"/>
      <c r="AG32" s="30"/>
      <c r="AH32" s="30"/>
      <c r="AI32" s="31"/>
    </row>
    <row r="33" spans="4:35" ht="11.25" customHeight="1" x14ac:dyDescent="0.15">
      <c r="D33" s="15"/>
      <c r="E33" s="15"/>
      <c r="F33" s="29" t="str">
        <f>F19</f>
        <v>WARN</v>
      </c>
      <c r="G33" s="30"/>
      <c r="H33" s="31"/>
      <c r="I33" s="30" t="s">
        <v>45</v>
      </c>
      <c r="J33" s="30"/>
      <c r="K33" s="30"/>
      <c r="L33" s="30"/>
      <c r="M33" s="30"/>
      <c r="N33" s="30"/>
      <c r="O33" s="30"/>
      <c r="P33" s="31"/>
      <c r="Q33" s="30" t="s">
        <v>46</v>
      </c>
      <c r="R33" s="30"/>
      <c r="S33" s="30"/>
      <c r="T33" s="30"/>
      <c r="U33" s="30"/>
      <c r="V33" s="30"/>
      <c r="W33" s="30"/>
      <c r="X33" s="30"/>
      <c r="Y33" s="30"/>
      <c r="Z33" s="30"/>
      <c r="AA33" s="30"/>
      <c r="AB33" s="30"/>
      <c r="AC33" s="30"/>
      <c r="AD33" s="30"/>
      <c r="AE33" s="30"/>
      <c r="AF33" s="30"/>
      <c r="AG33" s="30"/>
      <c r="AH33" s="30"/>
      <c r="AI33" s="31"/>
    </row>
    <row r="34" spans="4:35" ht="11.25" customHeight="1" x14ac:dyDescent="0.15">
      <c r="D34" s="15"/>
      <c r="E34" s="15"/>
      <c r="F34" s="29" t="str">
        <f>F22</f>
        <v>INFO</v>
      </c>
      <c r="G34" s="30"/>
      <c r="H34" s="31"/>
      <c r="I34" s="30" t="s">
        <v>45</v>
      </c>
      <c r="J34" s="30"/>
      <c r="K34" s="30"/>
      <c r="L34" s="30"/>
      <c r="M34" s="30"/>
      <c r="N34" s="30"/>
      <c r="O34" s="30"/>
      <c r="P34" s="31"/>
      <c r="Q34" s="30" t="s">
        <v>46</v>
      </c>
      <c r="R34" s="30"/>
      <c r="S34" s="30"/>
      <c r="T34" s="30"/>
      <c r="U34" s="30"/>
      <c r="V34" s="30"/>
      <c r="W34" s="30"/>
      <c r="X34" s="30"/>
      <c r="Y34" s="30"/>
      <c r="Z34" s="30"/>
      <c r="AA34" s="30"/>
      <c r="AB34" s="30"/>
      <c r="AC34" s="30"/>
      <c r="AD34" s="30"/>
      <c r="AE34" s="30"/>
      <c r="AF34" s="30"/>
      <c r="AG34" s="30"/>
      <c r="AH34" s="30"/>
      <c r="AI34" s="31"/>
    </row>
    <row r="35" spans="4:35" ht="11.25" customHeight="1" x14ac:dyDescent="0.15">
      <c r="D35" s="15"/>
      <c r="E35" s="15"/>
      <c r="F35" s="20" t="str">
        <f>F24</f>
        <v>DEBUG</v>
      </c>
      <c r="G35" s="21"/>
      <c r="H35" s="22"/>
      <c r="I35" s="21" t="s">
        <v>47</v>
      </c>
      <c r="J35" s="21"/>
      <c r="K35" s="21"/>
      <c r="L35" s="21"/>
      <c r="M35" s="21"/>
      <c r="N35" s="21"/>
      <c r="O35" s="21"/>
      <c r="P35" s="22"/>
      <c r="Q35" s="21" t="s">
        <v>276</v>
      </c>
      <c r="R35" s="21"/>
      <c r="S35" s="21"/>
      <c r="T35" s="21"/>
      <c r="U35" s="21"/>
      <c r="V35" s="21"/>
      <c r="W35" s="21"/>
      <c r="X35" s="21"/>
      <c r="Y35" s="21"/>
      <c r="Z35" s="21"/>
      <c r="AA35" s="21"/>
      <c r="AB35" s="21"/>
      <c r="AC35" s="21"/>
      <c r="AD35" s="21"/>
      <c r="AE35" s="21"/>
      <c r="AF35" s="21"/>
      <c r="AG35" s="21"/>
      <c r="AH35" s="21"/>
      <c r="AI35" s="22"/>
    </row>
    <row r="36" spans="4:35" ht="11.25" customHeight="1" x14ac:dyDescent="0.15">
      <c r="D36" s="15"/>
      <c r="E36" s="15"/>
      <c r="F36" s="18"/>
      <c r="G36" s="19"/>
      <c r="H36" s="23"/>
      <c r="I36" s="19" t="s">
        <v>48</v>
      </c>
      <c r="J36" s="19"/>
      <c r="K36" s="19"/>
      <c r="L36" s="19"/>
      <c r="M36" s="19"/>
      <c r="N36" s="19"/>
      <c r="O36" s="19"/>
      <c r="P36" s="23"/>
      <c r="Q36" s="19" t="s">
        <v>277</v>
      </c>
      <c r="R36" s="19"/>
      <c r="S36" s="19"/>
      <c r="T36" s="19"/>
      <c r="U36" s="19"/>
      <c r="V36" s="19"/>
      <c r="W36" s="19"/>
      <c r="X36" s="19"/>
      <c r="Y36" s="19"/>
      <c r="Z36" s="19"/>
      <c r="AA36" s="19"/>
      <c r="AB36" s="19"/>
      <c r="AC36" s="19"/>
      <c r="AD36" s="19"/>
      <c r="AE36" s="19"/>
      <c r="AF36" s="19"/>
      <c r="AG36" s="19"/>
      <c r="AH36" s="19"/>
      <c r="AI36" s="23"/>
    </row>
    <row r="37" spans="4:35" ht="11.25" customHeight="1" x14ac:dyDescent="0.15">
      <c r="D37" s="15"/>
      <c r="E37" s="15"/>
      <c r="F37" s="20" t="str">
        <f>F26</f>
        <v>TRACE</v>
      </c>
      <c r="G37" s="21"/>
      <c r="H37" s="22"/>
      <c r="I37" s="21" t="s">
        <v>47</v>
      </c>
      <c r="J37" s="21"/>
      <c r="K37" s="21"/>
      <c r="L37" s="21"/>
      <c r="M37" s="21"/>
      <c r="N37" s="21"/>
      <c r="O37" s="21"/>
      <c r="P37" s="22"/>
      <c r="Q37" s="21" t="s">
        <v>276</v>
      </c>
      <c r="R37" s="21"/>
      <c r="S37" s="21"/>
      <c r="T37" s="21"/>
      <c r="U37" s="21"/>
      <c r="V37" s="21"/>
      <c r="W37" s="21"/>
      <c r="X37" s="21"/>
      <c r="Y37" s="21"/>
      <c r="Z37" s="21"/>
      <c r="AA37" s="21"/>
      <c r="AB37" s="21"/>
      <c r="AC37" s="21"/>
      <c r="AD37" s="21"/>
      <c r="AE37" s="21"/>
      <c r="AF37" s="21"/>
      <c r="AG37" s="21"/>
      <c r="AH37" s="21"/>
      <c r="AI37" s="22"/>
    </row>
    <row r="38" spans="4:35" ht="11.25" customHeight="1" x14ac:dyDescent="0.15">
      <c r="D38" s="15"/>
      <c r="E38" s="15"/>
      <c r="F38" s="18"/>
      <c r="G38" s="19"/>
      <c r="H38" s="23"/>
      <c r="I38" s="19" t="s">
        <v>48</v>
      </c>
      <c r="J38" s="19"/>
      <c r="K38" s="19"/>
      <c r="L38" s="19"/>
      <c r="M38" s="19"/>
      <c r="N38" s="19"/>
      <c r="O38" s="19"/>
      <c r="P38" s="23"/>
      <c r="Q38" s="19" t="s">
        <v>277</v>
      </c>
      <c r="R38" s="19"/>
      <c r="S38" s="19"/>
      <c r="T38" s="19"/>
      <c r="U38" s="19"/>
      <c r="V38" s="19"/>
      <c r="W38" s="19"/>
      <c r="X38" s="19"/>
      <c r="Y38" s="19"/>
      <c r="Z38" s="19"/>
      <c r="AA38" s="19"/>
      <c r="AB38" s="19"/>
      <c r="AC38" s="19"/>
      <c r="AD38" s="19"/>
      <c r="AE38" s="19"/>
      <c r="AF38" s="19"/>
      <c r="AG38" s="19"/>
      <c r="AH38" s="19"/>
      <c r="AI38" s="23"/>
    </row>
    <row r="39" spans="4:35" ht="11.25" customHeight="1" x14ac:dyDescent="0.15">
      <c r="D39" s="15"/>
      <c r="E39" s="15"/>
    </row>
    <row r="40" spans="4:35" ht="11.25" customHeight="1" x14ac:dyDescent="0.15"/>
    <row r="41" spans="4:35" ht="11.25" customHeight="1" x14ac:dyDescent="0.15">
      <c r="D41" s="15"/>
      <c r="E41" s="15" t="str">
        <f>$D$10&amp;"2."</f>
        <v>7.13.1.2.</v>
      </c>
      <c r="F41" s="4" t="s">
        <v>49</v>
      </c>
    </row>
    <row r="42" spans="4:35" ht="11.25" customHeight="1" x14ac:dyDescent="0.15">
      <c r="D42" s="15"/>
      <c r="E42" s="15"/>
      <c r="F42" s="4" t="s">
        <v>50</v>
      </c>
    </row>
    <row r="43" spans="4:35" ht="11.25" customHeight="1" x14ac:dyDescent="0.15">
      <c r="F43" s="24" t="s">
        <v>51</v>
      </c>
      <c r="G43" s="25"/>
      <c r="H43" s="25"/>
      <c r="I43" s="25"/>
      <c r="J43" s="25"/>
      <c r="K43" s="24" t="s">
        <v>52</v>
      </c>
      <c r="L43" s="25"/>
      <c r="M43" s="25"/>
      <c r="N43" s="26"/>
      <c r="O43" s="25" t="s">
        <v>53</v>
      </c>
      <c r="P43" s="25"/>
      <c r="Q43" s="25"/>
      <c r="R43" s="25"/>
      <c r="S43" s="25"/>
      <c r="T43" s="25"/>
      <c r="U43" s="25"/>
      <c r="V43" s="25"/>
      <c r="W43" s="25"/>
      <c r="X43" s="25"/>
      <c r="Y43" s="25"/>
      <c r="Z43" s="25"/>
      <c r="AA43" s="25"/>
      <c r="AB43" s="25"/>
      <c r="AC43" s="25"/>
      <c r="AD43" s="25"/>
      <c r="AE43" s="25"/>
      <c r="AF43" s="25"/>
      <c r="AG43" s="25"/>
      <c r="AH43" s="25"/>
      <c r="AI43" s="26"/>
    </row>
    <row r="44" spans="4:35" ht="11.25" customHeight="1" x14ac:dyDescent="0.15">
      <c r="F44" s="29" t="s">
        <v>54</v>
      </c>
      <c r="G44" s="30"/>
      <c r="H44" s="30"/>
      <c r="I44" s="30"/>
      <c r="J44" s="30"/>
      <c r="K44" s="29" t="s">
        <v>55</v>
      </c>
      <c r="L44" s="30"/>
      <c r="M44" s="30"/>
      <c r="N44" s="31"/>
      <c r="O44" s="30" t="s">
        <v>56</v>
      </c>
      <c r="P44" s="30"/>
      <c r="Q44" s="30"/>
      <c r="R44" s="30"/>
      <c r="S44" s="30"/>
      <c r="T44" s="30"/>
      <c r="U44" s="30"/>
      <c r="V44" s="30"/>
      <c r="W44" s="30"/>
      <c r="X44" s="30"/>
      <c r="Y44" s="30"/>
      <c r="Z44" s="30"/>
      <c r="AA44" s="30"/>
      <c r="AB44" s="30"/>
      <c r="AC44" s="30"/>
      <c r="AD44" s="30"/>
      <c r="AE44" s="30"/>
      <c r="AF44" s="30"/>
      <c r="AG44" s="30"/>
      <c r="AH44" s="30"/>
      <c r="AI44" s="31"/>
    </row>
    <row r="45" spans="4:35" ht="11.25" customHeight="1" x14ac:dyDescent="0.15">
      <c r="F45" s="16" t="s">
        <v>57</v>
      </c>
      <c r="K45" s="16" t="s">
        <v>33</v>
      </c>
      <c r="N45" s="17"/>
      <c r="O45" s="4" t="s">
        <v>58</v>
      </c>
      <c r="AI45" s="17"/>
    </row>
    <row r="46" spans="4:35" ht="11.25" customHeight="1" x14ac:dyDescent="0.15">
      <c r="F46" s="16"/>
      <c r="K46" s="16"/>
      <c r="N46" s="17"/>
      <c r="O46" s="4" t="s">
        <v>59</v>
      </c>
      <c r="AI46" s="17"/>
    </row>
    <row r="47" spans="4:35" ht="11.25" customHeight="1" x14ac:dyDescent="0.15">
      <c r="F47" s="18"/>
      <c r="G47" s="19"/>
      <c r="H47" s="19"/>
      <c r="I47" s="19"/>
      <c r="J47" s="19"/>
      <c r="K47" s="18"/>
      <c r="L47" s="19"/>
      <c r="M47" s="19"/>
      <c r="N47" s="23"/>
      <c r="O47" s="19" t="s">
        <v>60</v>
      </c>
      <c r="P47" s="19"/>
      <c r="Q47" s="19"/>
      <c r="R47" s="19"/>
      <c r="S47" s="19"/>
      <c r="T47" s="19"/>
      <c r="U47" s="19"/>
      <c r="V47" s="19"/>
      <c r="W47" s="19"/>
      <c r="X47" s="19"/>
      <c r="Y47" s="19"/>
      <c r="Z47" s="19"/>
      <c r="AA47" s="19"/>
      <c r="AB47" s="19"/>
      <c r="AC47" s="19"/>
      <c r="AD47" s="19"/>
      <c r="AE47" s="19"/>
      <c r="AF47" s="19"/>
      <c r="AG47" s="19"/>
      <c r="AH47" s="19"/>
      <c r="AI47" s="23"/>
    </row>
    <row r="48" spans="4:35" ht="11.25" customHeight="1" x14ac:dyDescent="0.15">
      <c r="F48" s="16" t="s">
        <v>61</v>
      </c>
      <c r="K48" s="16" t="s">
        <v>62</v>
      </c>
      <c r="N48" s="17"/>
      <c r="O48" s="4" t="s">
        <v>63</v>
      </c>
      <c r="AI48" s="17"/>
    </row>
    <row r="49" spans="6:35" ht="11.25" customHeight="1" x14ac:dyDescent="0.15">
      <c r="F49" s="16"/>
      <c r="K49" s="16"/>
      <c r="N49" s="17"/>
      <c r="O49" s="4" t="s">
        <v>64</v>
      </c>
      <c r="AI49" s="17"/>
    </row>
    <row r="50" spans="6:35" ht="11.25" customHeight="1" x14ac:dyDescent="0.15">
      <c r="F50" s="18"/>
      <c r="G50" s="19"/>
      <c r="H50" s="19"/>
      <c r="I50" s="19"/>
      <c r="J50" s="19"/>
      <c r="K50" s="18"/>
      <c r="L50" s="19"/>
      <c r="M50" s="19"/>
      <c r="N50" s="23"/>
      <c r="O50" s="19" t="s">
        <v>65</v>
      </c>
      <c r="P50" s="19"/>
      <c r="Q50" s="19"/>
      <c r="R50" s="19"/>
      <c r="S50" s="19"/>
      <c r="T50" s="19"/>
      <c r="U50" s="19"/>
      <c r="V50" s="19"/>
      <c r="W50" s="19"/>
      <c r="X50" s="19"/>
      <c r="Y50" s="19"/>
      <c r="Z50" s="19"/>
      <c r="AA50" s="19"/>
      <c r="AB50" s="19"/>
      <c r="AC50" s="19"/>
      <c r="AD50" s="19"/>
      <c r="AE50" s="19"/>
      <c r="AF50" s="19"/>
      <c r="AG50" s="19"/>
      <c r="AH50" s="19"/>
      <c r="AI50" s="23"/>
    </row>
    <row r="51" spans="6:35" ht="11.25" customHeight="1" x14ac:dyDescent="0.15">
      <c r="F51" s="16" t="s">
        <v>66</v>
      </c>
      <c r="K51" s="16" t="s">
        <v>36</v>
      </c>
      <c r="N51" s="17"/>
      <c r="O51" s="4" t="s">
        <v>67</v>
      </c>
      <c r="AI51" s="17"/>
    </row>
    <row r="52" spans="6:35" ht="11.25" customHeight="1" x14ac:dyDescent="0.15">
      <c r="F52" s="18"/>
      <c r="G52" s="19"/>
      <c r="H52" s="19"/>
      <c r="I52" s="19"/>
      <c r="J52" s="19"/>
      <c r="K52" s="18"/>
      <c r="L52" s="19"/>
      <c r="M52" s="19"/>
      <c r="N52" s="23"/>
      <c r="O52" s="19" t="s">
        <v>68</v>
      </c>
      <c r="P52" s="19"/>
      <c r="Q52" s="19"/>
      <c r="R52" s="19"/>
      <c r="S52" s="19"/>
      <c r="T52" s="19"/>
      <c r="U52" s="19"/>
      <c r="V52" s="19"/>
      <c r="W52" s="19"/>
      <c r="X52" s="19"/>
      <c r="Y52" s="19"/>
      <c r="Z52" s="19"/>
      <c r="AA52" s="19"/>
      <c r="AB52" s="19"/>
      <c r="AC52" s="19"/>
      <c r="AD52" s="19"/>
      <c r="AE52" s="19"/>
      <c r="AF52" s="19"/>
      <c r="AG52" s="19"/>
      <c r="AH52" s="19"/>
      <c r="AI52" s="23"/>
    </row>
    <row r="53" spans="6:35" ht="11.25" customHeight="1" x14ac:dyDescent="0.15">
      <c r="F53" s="16" t="s">
        <v>69</v>
      </c>
      <c r="K53" s="16" t="s">
        <v>70</v>
      </c>
      <c r="N53" s="17"/>
      <c r="O53" s="4" t="s">
        <v>71</v>
      </c>
      <c r="AI53" s="17"/>
    </row>
    <row r="54" spans="6:35" ht="11.25" customHeight="1" x14ac:dyDescent="0.15">
      <c r="F54" s="16"/>
      <c r="K54" s="16"/>
      <c r="N54" s="17"/>
      <c r="O54" s="4" t="s">
        <v>72</v>
      </c>
      <c r="AI54" s="17"/>
    </row>
    <row r="55" spans="6:35" ht="11.25" customHeight="1" x14ac:dyDescent="0.15">
      <c r="F55" s="16"/>
      <c r="K55" s="16"/>
      <c r="N55" s="17"/>
      <c r="O55" s="4" t="s">
        <v>73</v>
      </c>
      <c r="AI55" s="17"/>
    </row>
    <row r="56" spans="6:35" ht="11.25" customHeight="1" x14ac:dyDescent="0.15">
      <c r="F56" s="16"/>
      <c r="K56" s="16"/>
      <c r="N56" s="17"/>
      <c r="O56" s="4" t="s">
        <v>74</v>
      </c>
      <c r="AI56" s="17"/>
    </row>
    <row r="57" spans="6:35" ht="11.25" customHeight="1" x14ac:dyDescent="0.15">
      <c r="F57" s="16"/>
      <c r="K57" s="16"/>
      <c r="N57" s="17"/>
      <c r="O57" s="4" t="s">
        <v>75</v>
      </c>
      <c r="AI57" s="17"/>
    </row>
    <row r="58" spans="6:35" ht="11.25" customHeight="1" x14ac:dyDescent="0.15">
      <c r="F58" s="16"/>
      <c r="K58" s="16"/>
      <c r="N58" s="17"/>
      <c r="O58" s="4" t="s">
        <v>76</v>
      </c>
      <c r="AI58" s="17"/>
    </row>
    <row r="59" spans="6:35" ht="11.25" customHeight="1" x14ac:dyDescent="0.15">
      <c r="F59" s="16"/>
      <c r="K59" s="16"/>
      <c r="N59" s="17"/>
      <c r="O59" s="4" t="s">
        <v>77</v>
      </c>
      <c r="AI59" s="17"/>
    </row>
    <row r="60" spans="6:35" ht="11.25" customHeight="1" x14ac:dyDescent="0.15">
      <c r="F60" s="16"/>
      <c r="K60" s="16"/>
      <c r="N60" s="17"/>
      <c r="O60" s="4" t="s">
        <v>78</v>
      </c>
      <c r="AI60" s="17"/>
    </row>
    <row r="61" spans="6:35" ht="11.25" customHeight="1" x14ac:dyDescent="0.15">
      <c r="F61" s="16"/>
      <c r="K61" s="16"/>
      <c r="N61" s="17"/>
      <c r="O61" s="4" t="s">
        <v>79</v>
      </c>
      <c r="AI61" s="17"/>
    </row>
    <row r="62" spans="6:35" ht="11.25" customHeight="1" x14ac:dyDescent="0.15">
      <c r="F62" s="18"/>
      <c r="G62" s="19"/>
      <c r="H62" s="19"/>
      <c r="I62" s="19"/>
      <c r="J62" s="19"/>
      <c r="K62" s="18"/>
      <c r="L62" s="19"/>
      <c r="M62" s="19"/>
      <c r="N62" s="23"/>
      <c r="O62" s="19" t="s">
        <v>80</v>
      </c>
      <c r="P62" s="19"/>
      <c r="Q62" s="19"/>
      <c r="R62" s="19"/>
      <c r="S62" s="19"/>
      <c r="T62" s="19"/>
      <c r="U62" s="19"/>
      <c r="V62" s="19"/>
      <c r="W62" s="19"/>
      <c r="X62" s="19"/>
      <c r="Y62" s="19"/>
      <c r="Z62" s="19"/>
      <c r="AA62" s="19"/>
      <c r="AB62" s="19"/>
      <c r="AC62" s="19"/>
      <c r="AD62" s="19"/>
      <c r="AE62" s="19"/>
      <c r="AF62" s="19"/>
      <c r="AG62" s="19"/>
      <c r="AH62" s="19"/>
      <c r="AI62" s="23"/>
    </row>
    <row r="63" spans="6:35" ht="11.25" customHeight="1" x14ac:dyDescent="0.15"/>
    <row r="64" spans="6:35" ht="11.25" customHeight="1" x14ac:dyDescent="0.15">
      <c r="F64" s="4" t="s">
        <v>81</v>
      </c>
    </row>
    <row r="65" spans="4:35" ht="11.25" customHeight="1" x14ac:dyDescent="0.15"/>
    <row r="66" spans="4:35" ht="11.25" customHeight="1" x14ac:dyDescent="0.15"/>
    <row r="67" spans="4:35" ht="11.25" customHeight="1" x14ac:dyDescent="0.15">
      <c r="E67" s="15" t="str">
        <f>$D$10&amp;"3."</f>
        <v>7.13.1.3.</v>
      </c>
      <c r="F67" s="4" t="s">
        <v>82</v>
      </c>
    </row>
    <row r="68" spans="4:35" ht="11.25" customHeight="1" x14ac:dyDescent="0.15">
      <c r="F68" s="4" t="s">
        <v>185</v>
      </c>
    </row>
    <row r="69" spans="4:35" ht="11.25" customHeight="1" x14ac:dyDescent="0.15"/>
    <row r="70" spans="4:35" ht="11.25" customHeight="1" x14ac:dyDescent="0.15">
      <c r="E70" s="15" t="str">
        <f>$D$10&amp;"4."</f>
        <v>7.13.1.4.</v>
      </c>
      <c r="F70" s="4" t="s">
        <v>83</v>
      </c>
      <c r="G70" s="27"/>
    </row>
    <row r="71" spans="4:35" ht="11.25" customHeight="1" x14ac:dyDescent="0.15">
      <c r="E71" s="27"/>
      <c r="F71" s="4" t="s">
        <v>84</v>
      </c>
    </row>
    <row r="72" spans="4:35" ht="11.25" customHeight="1" x14ac:dyDescent="0.15">
      <c r="E72" s="27"/>
      <c r="F72" s="4" t="s">
        <v>85</v>
      </c>
    </row>
    <row r="73" spans="4:35" ht="11.25" customHeight="1" x14ac:dyDescent="0.15">
      <c r="E73" s="27"/>
    </row>
    <row r="74" spans="4:35" ht="11.25" customHeight="1" x14ac:dyDescent="0.15">
      <c r="E74" s="27"/>
      <c r="F74" s="24" t="s">
        <v>86</v>
      </c>
      <c r="G74" s="25"/>
      <c r="H74" s="25"/>
      <c r="I74" s="25"/>
      <c r="J74" s="25"/>
      <c r="K74" s="24" t="s">
        <v>87</v>
      </c>
      <c r="L74" s="25"/>
      <c r="M74" s="25"/>
      <c r="N74" s="24" t="s">
        <v>88</v>
      </c>
      <c r="O74" s="25"/>
      <c r="P74" s="25"/>
      <c r="Q74" s="25"/>
      <c r="R74" s="25"/>
      <c r="S74" s="25"/>
      <c r="T74" s="25"/>
      <c r="U74" s="25"/>
      <c r="V74" s="25"/>
      <c r="W74" s="25"/>
      <c r="X74" s="25"/>
      <c r="Y74" s="25"/>
      <c r="Z74" s="25"/>
      <c r="AA74" s="25"/>
      <c r="AB74" s="25"/>
      <c r="AC74" s="25"/>
      <c r="AD74" s="25"/>
      <c r="AE74" s="25"/>
      <c r="AF74" s="25"/>
      <c r="AG74" s="25"/>
      <c r="AH74" s="25"/>
      <c r="AI74" s="26"/>
    </row>
    <row r="75" spans="4:35" ht="11.25" customHeight="1" x14ac:dyDescent="0.15">
      <c r="E75" s="27"/>
      <c r="F75" s="20" t="s">
        <v>89</v>
      </c>
      <c r="G75" s="21"/>
      <c r="H75" s="21"/>
      <c r="I75" s="21"/>
      <c r="J75" s="21"/>
      <c r="K75" s="20" t="s">
        <v>90</v>
      </c>
      <c r="L75" s="21"/>
      <c r="M75" s="21"/>
      <c r="N75" s="20" t="s">
        <v>91</v>
      </c>
      <c r="O75" s="21"/>
      <c r="P75" s="21"/>
      <c r="Q75" s="21"/>
      <c r="R75" s="21"/>
      <c r="S75" s="21"/>
      <c r="T75" s="21"/>
      <c r="U75" s="21"/>
      <c r="V75" s="21"/>
      <c r="W75" s="21"/>
      <c r="X75" s="21"/>
      <c r="Y75" s="21"/>
      <c r="Z75" s="21"/>
      <c r="AA75" s="21"/>
      <c r="AB75" s="21"/>
      <c r="AC75" s="21"/>
      <c r="AD75" s="21"/>
      <c r="AE75" s="21"/>
      <c r="AF75" s="21"/>
      <c r="AG75" s="21"/>
      <c r="AH75" s="21"/>
      <c r="AI75" s="22"/>
    </row>
    <row r="76" spans="4:35" ht="11.25" customHeight="1" x14ac:dyDescent="0.15">
      <c r="E76" s="27"/>
      <c r="F76" s="18"/>
      <c r="G76" s="19"/>
      <c r="H76" s="19"/>
      <c r="I76" s="19"/>
      <c r="J76" s="19"/>
      <c r="K76" s="18"/>
      <c r="L76" s="19"/>
      <c r="M76" s="19"/>
      <c r="N76" s="18" t="s">
        <v>278</v>
      </c>
      <c r="O76" s="19"/>
      <c r="P76" s="19"/>
      <c r="Q76" s="19"/>
      <c r="R76" s="19"/>
      <c r="S76" s="19"/>
      <c r="T76" s="19"/>
      <c r="U76" s="19"/>
      <c r="V76" s="19"/>
      <c r="W76" s="19"/>
      <c r="X76" s="19"/>
      <c r="Y76" s="19"/>
      <c r="Z76" s="19"/>
      <c r="AA76" s="19"/>
      <c r="AB76" s="19"/>
      <c r="AC76" s="19"/>
      <c r="AD76" s="19"/>
      <c r="AE76" s="19"/>
      <c r="AF76" s="19"/>
      <c r="AG76" s="19"/>
      <c r="AH76" s="19"/>
      <c r="AI76" s="23"/>
    </row>
    <row r="77" spans="4:35" ht="11.25" customHeight="1" x14ac:dyDescent="0.15">
      <c r="E77" s="27"/>
      <c r="F77" s="15"/>
      <c r="G77" s="27"/>
    </row>
    <row r="78" spans="4:35" ht="11.25" customHeight="1" x14ac:dyDescent="0.15"/>
    <row r="79" spans="4:35" ht="11.25" customHeight="1" x14ac:dyDescent="0.15">
      <c r="D79" s="15" t="str">
        <f>$C$7&amp;"2."</f>
        <v>7.13.2.</v>
      </c>
      <c r="E79" s="4" t="s">
        <v>92</v>
      </c>
    </row>
    <row r="80" spans="4:35" ht="11.25" customHeight="1" x14ac:dyDescent="0.15">
      <c r="E80" s="15" t="str">
        <f>$D$79&amp;"1."</f>
        <v>7.13.2.1.</v>
      </c>
      <c r="F80" s="4" t="s">
        <v>186</v>
      </c>
    </row>
    <row r="81" spans="6:35" ht="11.25" customHeight="1" x14ac:dyDescent="0.15">
      <c r="F81" s="15" t="s">
        <v>93</v>
      </c>
      <c r="G81" s="4" t="s">
        <v>187</v>
      </c>
    </row>
    <row r="82" spans="6:35" ht="11.25" customHeight="1" x14ac:dyDescent="0.15">
      <c r="F82" s="15"/>
      <c r="G82" s="4" t="s">
        <v>189</v>
      </c>
    </row>
    <row r="83" spans="6:35" ht="11.25" customHeight="1" x14ac:dyDescent="0.15">
      <c r="G83" s="24" t="s">
        <v>196</v>
      </c>
      <c r="H83" s="25"/>
      <c r="I83" s="25"/>
      <c r="J83" s="25"/>
      <c r="K83" s="26"/>
      <c r="L83" s="25" t="s">
        <v>94</v>
      </c>
      <c r="M83" s="25"/>
      <c r="N83" s="25"/>
      <c r="O83" s="25"/>
      <c r="P83" s="25"/>
      <c r="Q83" s="25"/>
      <c r="R83" s="25"/>
      <c r="S83" s="25"/>
      <c r="T83" s="25"/>
      <c r="U83" s="25"/>
      <c r="V83" s="25"/>
      <c r="W83" s="25"/>
      <c r="X83" s="25"/>
      <c r="Y83" s="25"/>
      <c r="Z83" s="25"/>
      <c r="AA83" s="25"/>
      <c r="AB83" s="25"/>
      <c r="AC83" s="25"/>
      <c r="AD83" s="25"/>
      <c r="AE83" s="25"/>
      <c r="AF83" s="25"/>
      <c r="AG83" s="25"/>
      <c r="AH83" s="25"/>
      <c r="AI83" s="26"/>
    </row>
    <row r="84" spans="6:35" ht="11.25" customHeight="1" x14ac:dyDescent="0.15">
      <c r="G84" s="29" t="s">
        <v>101</v>
      </c>
      <c r="H84" s="30"/>
      <c r="I84" s="30"/>
      <c r="J84" s="30"/>
      <c r="K84" s="30"/>
      <c r="L84" s="29" t="s">
        <v>188</v>
      </c>
      <c r="M84" s="30"/>
      <c r="N84" s="30"/>
      <c r="O84" s="30"/>
      <c r="P84" s="30"/>
      <c r="Q84" s="30"/>
      <c r="R84" s="30"/>
      <c r="S84" s="30"/>
      <c r="T84" s="30"/>
      <c r="U84" s="30"/>
      <c r="V84" s="30"/>
      <c r="W84" s="30"/>
      <c r="X84" s="30"/>
      <c r="Y84" s="30"/>
      <c r="Z84" s="30"/>
      <c r="AA84" s="30"/>
      <c r="AB84" s="30"/>
      <c r="AC84" s="30"/>
      <c r="AD84" s="30"/>
      <c r="AE84" s="30"/>
      <c r="AF84" s="30"/>
      <c r="AG84" s="30"/>
      <c r="AH84" s="30"/>
      <c r="AI84" s="31"/>
    </row>
    <row r="85" spans="6:35" ht="11.25" customHeight="1" x14ac:dyDescent="0.15">
      <c r="G85" s="29" t="s">
        <v>95</v>
      </c>
      <c r="H85" s="30"/>
      <c r="I85" s="30"/>
      <c r="J85" s="30"/>
      <c r="K85" s="30"/>
      <c r="L85" s="29" t="s">
        <v>96</v>
      </c>
      <c r="M85" s="30"/>
      <c r="N85" s="30"/>
      <c r="O85" s="30"/>
      <c r="P85" s="30"/>
      <c r="Q85" s="30"/>
      <c r="R85" s="30"/>
      <c r="S85" s="30"/>
      <c r="T85" s="30"/>
      <c r="U85" s="30"/>
      <c r="V85" s="30"/>
      <c r="W85" s="30"/>
      <c r="X85" s="30"/>
      <c r="Y85" s="30"/>
      <c r="Z85" s="30"/>
      <c r="AA85" s="30"/>
      <c r="AB85" s="30"/>
      <c r="AC85" s="30"/>
      <c r="AD85" s="30"/>
      <c r="AE85" s="30"/>
      <c r="AF85" s="30"/>
      <c r="AG85" s="30"/>
      <c r="AH85" s="30"/>
      <c r="AI85" s="31"/>
    </row>
    <row r="86" spans="6:35" ht="11.25" customHeight="1" x14ac:dyDescent="0.15">
      <c r="G86" s="15"/>
    </row>
    <row r="87" spans="6:35" ht="11.25" customHeight="1" x14ac:dyDescent="0.15">
      <c r="G87" s="4" t="s">
        <v>193</v>
      </c>
    </row>
    <row r="88" spans="6:35" ht="11.25" customHeight="1" x14ac:dyDescent="0.15">
      <c r="G88" s="24" t="s">
        <v>196</v>
      </c>
      <c r="H88" s="25"/>
      <c r="I88" s="25"/>
      <c r="J88" s="25"/>
      <c r="K88" s="26"/>
      <c r="L88" s="25" t="s">
        <v>97</v>
      </c>
      <c r="M88" s="25"/>
      <c r="N88" s="25"/>
      <c r="O88" s="25"/>
      <c r="P88" s="26"/>
      <c r="Q88" s="24" t="s">
        <v>98</v>
      </c>
      <c r="R88" s="25"/>
      <c r="S88" s="25"/>
      <c r="T88" s="25"/>
      <c r="U88" s="25"/>
      <c r="V88" s="26"/>
      <c r="W88" s="24" t="s">
        <v>99</v>
      </c>
      <c r="X88" s="25"/>
      <c r="Y88" s="25"/>
      <c r="Z88" s="25"/>
      <c r="AA88" s="26"/>
    </row>
    <row r="89" spans="6:35" ht="11.25" customHeight="1" x14ac:dyDescent="0.15">
      <c r="G89" s="20" t="str">
        <f>$G$84</f>
        <v>障害通知ログ</v>
      </c>
      <c r="H89" s="21"/>
      <c r="I89" s="21"/>
      <c r="J89" s="21"/>
      <c r="K89" s="21"/>
      <c r="L89" s="20" t="s">
        <v>100</v>
      </c>
      <c r="M89" s="21"/>
      <c r="N89" s="21"/>
      <c r="O89" s="21"/>
      <c r="P89" s="31"/>
      <c r="Q89" s="20" t="s">
        <v>195</v>
      </c>
      <c r="R89" s="21"/>
      <c r="S89" s="21"/>
      <c r="T89" s="21"/>
      <c r="U89" s="21"/>
      <c r="V89" s="31"/>
      <c r="W89" s="20" t="s">
        <v>101</v>
      </c>
      <c r="X89" s="21"/>
      <c r="Y89" s="21"/>
      <c r="Z89" s="21"/>
      <c r="AA89" s="22"/>
    </row>
    <row r="90" spans="6:35" ht="11.25" customHeight="1" x14ac:dyDescent="0.15">
      <c r="G90" s="20" t="str">
        <f>$G$84</f>
        <v>障害通知ログ</v>
      </c>
      <c r="H90" s="21"/>
      <c r="I90" s="21"/>
      <c r="J90" s="21"/>
      <c r="K90" s="21"/>
      <c r="L90" s="20" t="s">
        <v>102</v>
      </c>
      <c r="M90" s="21"/>
      <c r="N90" s="21"/>
      <c r="O90" s="21"/>
      <c r="P90" s="31"/>
      <c r="Q90" s="20" t="s">
        <v>194</v>
      </c>
      <c r="R90" s="21"/>
      <c r="S90" s="21"/>
      <c r="T90" s="21"/>
      <c r="U90" s="21"/>
      <c r="V90" s="31"/>
      <c r="W90" s="20" t="s">
        <v>101</v>
      </c>
      <c r="X90" s="21"/>
      <c r="Y90" s="21"/>
      <c r="Z90" s="21"/>
      <c r="AA90" s="22"/>
    </row>
    <row r="91" spans="6:35" ht="11.25" customHeight="1" x14ac:dyDescent="0.15">
      <c r="G91" s="20" t="str">
        <f>$G$84</f>
        <v>障害通知ログ</v>
      </c>
      <c r="H91" s="21"/>
      <c r="I91" s="21"/>
      <c r="J91" s="21"/>
      <c r="K91" s="21"/>
      <c r="L91" s="20" t="s">
        <v>103</v>
      </c>
      <c r="M91" s="21"/>
      <c r="N91" s="21"/>
      <c r="O91" s="21"/>
      <c r="P91" s="31"/>
      <c r="Q91" s="29" t="s">
        <v>194</v>
      </c>
      <c r="R91" s="30"/>
      <c r="S91" s="30"/>
      <c r="T91" s="30"/>
      <c r="U91" s="30"/>
      <c r="V91" s="31"/>
      <c r="W91" s="21" t="s">
        <v>101</v>
      </c>
      <c r="X91" s="21"/>
      <c r="Y91" s="21"/>
      <c r="Z91" s="21"/>
      <c r="AA91" s="22"/>
    </row>
    <row r="92" spans="6:35" ht="11.25" customHeight="1" x14ac:dyDescent="0.15">
      <c r="G92" s="20" t="str">
        <f>$G$85</f>
        <v>アプリケーションログ</v>
      </c>
      <c r="H92" s="21"/>
      <c r="I92" s="21"/>
      <c r="J92" s="21"/>
      <c r="K92" s="21"/>
      <c r="L92" s="20" t="s">
        <v>100</v>
      </c>
      <c r="M92" s="21"/>
      <c r="N92" s="21"/>
      <c r="O92" s="21"/>
      <c r="P92" s="22"/>
      <c r="Q92" s="20" t="s">
        <v>194</v>
      </c>
      <c r="R92" s="21"/>
      <c r="S92" s="21"/>
      <c r="T92" s="21"/>
      <c r="U92" s="21"/>
      <c r="V92" s="17"/>
      <c r="W92" s="20" t="s">
        <v>57</v>
      </c>
      <c r="X92" s="21"/>
      <c r="Y92" s="21"/>
      <c r="Z92" s="21"/>
      <c r="AA92" s="22"/>
    </row>
    <row r="93" spans="6:35" ht="11.25" customHeight="1" x14ac:dyDescent="0.15">
      <c r="G93" s="16"/>
      <c r="L93" s="16"/>
      <c r="P93" s="17"/>
      <c r="Q93" s="16"/>
      <c r="V93" s="17"/>
      <c r="W93" s="16" t="s">
        <v>104</v>
      </c>
      <c r="AA93" s="17"/>
    </row>
    <row r="94" spans="6:35" ht="11.25" customHeight="1" x14ac:dyDescent="0.15">
      <c r="G94" s="16"/>
      <c r="L94" s="16"/>
      <c r="P94" s="17"/>
      <c r="Q94" s="16"/>
      <c r="V94" s="17"/>
      <c r="W94" s="16" t="s">
        <v>105</v>
      </c>
      <c r="AA94" s="17"/>
    </row>
    <row r="95" spans="6:35" ht="11.25" customHeight="1" x14ac:dyDescent="0.15">
      <c r="G95" s="18"/>
      <c r="H95" s="19"/>
      <c r="I95" s="19"/>
      <c r="J95" s="19"/>
      <c r="K95" s="19"/>
      <c r="L95" s="18"/>
      <c r="M95" s="19"/>
      <c r="N95" s="19"/>
      <c r="O95" s="19"/>
      <c r="P95" s="23"/>
      <c r="Q95" s="18"/>
      <c r="R95" s="19"/>
      <c r="S95" s="19"/>
      <c r="T95" s="19"/>
      <c r="U95" s="19"/>
      <c r="V95" s="23"/>
      <c r="W95" s="18" t="s">
        <v>106</v>
      </c>
      <c r="X95" s="19"/>
      <c r="Y95" s="19"/>
      <c r="Z95" s="19"/>
      <c r="AA95" s="23"/>
    </row>
    <row r="96" spans="6:35" ht="11.25" customHeight="1" x14ac:dyDescent="0.15">
      <c r="G96" s="20" t="str">
        <f>$G$85</f>
        <v>アプリケーションログ</v>
      </c>
      <c r="H96" s="21"/>
      <c r="I96" s="21"/>
      <c r="J96" s="21"/>
      <c r="K96" s="21"/>
      <c r="L96" s="20" t="s">
        <v>102</v>
      </c>
      <c r="M96" s="21"/>
      <c r="N96" s="21"/>
      <c r="O96" s="21"/>
      <c r="P96" s="22"/>
      <c r="Q96" s="20" t="s">
        <v>194</v>
      </c>
      <c r="R96" s="21"/>
      <c r="S96" s="21"/>
      <c r="T96" s="21"/>
      <c r="U96" s="21"/>
      <c r="V96" s="22"/>
      <c r="W96" s="20" t="s">
        <v>61</v>
      </c>
      <c r="X96" s="21"/>
      <c r="Y96" s="21"/>
      <c r="Z96" s="21"/>
      <c r="AA96" s="22"/>
    </row>
    <row r="97" spans="4:35" ht="11.25" customHeight="1" x14ac:dyDescent="0.15">
      <c r="G97" s="16"/>
      <c r="L97" s="16"/>
      <c r="P97" s="17"/>
      <c r="Q97" s="16"/>
      <c r="V97" s="17"/>
      <c r="W97" s="16" t="s">
        <v>105</v>
      </c>
      <c r="AA97" s="17"/>
    </row>
    <row r="98" spans="4:35" ht="11.25" customHeight="1" x14ac:dyDescent="0.15">
      <c r="G98" s="18"/>
      <c r="H98" s="19"/>
      <c r="I98" s="19"/>
      <c r="J98" s="19"/>
      <c r="K98" s="19"/>
      <c r="L98" s="18"/>
      <c r="M98" s="19"/>
      <c r="N98" s="19"/>
      <c r="O98" s="19"/>
      <c r="P98" s="23"/>
      <c r="Q98" s="18"/>
      <c r="R98" s="19"/>
      <c r="S98" s="19"/>
      <c r="T98" s="19"/>
      <c r="U98" s="19"/>
      <c r="V98" s="23"/>
      <c r="W98" s="18" t="s">
        <v>66</v>
      </c>
      <c r="X98" s="19"/>
      <c r="Y98" s="19"/>
      <c r="Z98" s="19"/>
      <c r="AA98" s="23"/>
    </row>
    <row r="99" spans="4:35" ht="11.25" customHeight="1" x14ac:dyDescent="0.15">
      <c r="G99" s="20" t="str">
        <f>$G$85</f>
        <v>アプリケーションログ</v>
      </c>
      <c r="H99" s="21"/>
      <c r="I99" s="21"/>
      <c r="J99" s="21"/>
      <c r="K99" s="22"/>
      <c r="L99" s="20" t="s">
        <v>103</v>
      </c>
      <c r="M99" s="21"/>
      <c r="N99" s="21"/>
      <c r="O99" s="21"/>
      <c r="P99" s="22"/>
      <c r="Q99" s="20" t="s">
        <v>194</v>
      </c>
      <c r="R99" s="21"/>
      <c r="S99" s="21"/>
      <c r="T99" s="21"/>
      <c r="U99" s="21"/>
      <c r="V99" s="22"/>
      <c r="W99" s="20" t="s">
        <v>57</v>
      </c>
      <c r="X99" s="21"/>
      <c r="Y99" s="21"/>
      <c r="Z99" s="21"/>
      <c r="AA99" s="22"/>
    </row>
    <row r="100" spans="4:35" ht="11.25" customHeight="1" x14ac:dyDescent="0.15">
      <c r="G100" s="16"/>
      <c r="K100" s="17"/>
      <c r="L100" s="16"/>
      <c r="O100" s="47"/>
      <c r="P100" s="17"/>
      <c r="Q100" s="16"/>
      <c r="V100" s="17"/>
      <c r="W100" s="16" t="s">
        <v>104</v>
      </c>
      <c r="AA100" s="17"/>
    </row>
    <row r="101" spans="4:35" ht="11.25" customHeight="1" x14ac:dyDescent="0.15">
      <c r="G101" s="16"/>
      <c r="K101" s="17"/>
      <c r="L101" s="16"/>
      <c r="O101" s="47"/>
      <c r="P101" s="17"/>
      <c r="Q101" s="16"/>
      <c r="V101" s="17"/>
      <c r="W101" s="16" t="s">
        <v>105</v>
      </c>
      <c r="AA101" s="17"/>
    </row>
    <row r="102" spans="4:35" ht="11.25" customHeight="1" x14ac:dyDescent="0.15">
      <c r="G102" s="18"/>
      <c r="H102" s="19"/>
      <c r="I102" s="19"/>
      <c r="J102" s="19"/>
      <c r="K102" s="23"/>
      <c r="L102" s="18"/>
      <c r="M102" s="19"/>
      <c r="N102" s="19"/>
      <c r="O102" s="19"/>
      <c r="P102" s="23"/>
      <c r="Q102" s="18"/>
      <c r="R102" s="19"/>
      <c r="S102" s="19"/>
      <c r="T102" s="19"/>
      <c r="U102" s="19"/>
      <c r="V102" s="23"/>
      <c r="W102" s="18" t="s">
        <v>106</v>
      </c>
      <c r="X102" s="19"/>
      <c r="Y102" s="19"/>
      <c r="Z102" s="19"/>
      <c r="AA102" s="23"/>
    </row>
    <row r="103" spans="4:35" ht="11.25" customHeight="1" x14ac:dyDescent="0.15"/>
    <row r="104" spans="4:35" ht="11.25" customHeight="1" x14ac:dyDescent="0.15">
      <c r="F104" s="15" t="s">
        <v>107</v>
      </c>
      <c r="G104" s="4" t="s">
        <v>190</v>
      </c>
    </row>
    <row r="105" spans="4:35" ht="11.25" customHeight="1" x14ac:dyDescent="0.15">
      <c r="G105" s="4" t="s">
        <v>109</v>
      </c>
    </row>
    <row r="106" spans="4:35" ht="11.25" customHeight="1" x14ac:dyDescent="0.15">
      <c r="G106" s="4" t="s">
        <v>110</v>
      </c>
    </row>
    <row r="107" spans="4:35" ht="11.25" customHeight="1" x14ac:dyDescent="0.15">
      <c r="G107" s="4" t="s">
        <v>111</v>
      </c>
    </row>
    <row r="108" spans="4:35" ht="11.25" customHeight="1" x14ac:dyDescent="0.15"/>
    <row r="109" spans="4:35" ht="11.25" customHeight="1" x14ac:dyDescent="0.15">
      <c r="D109" s="15" t="str">
        <f>$C$7&amp;"3."</f>
        <v>7.13.3.</v>
      </c>
      <c r="E109" s="28" t="s">
        <v>197</v>
      </c>
    </row>
    <row r="110" spans="4:35" ht="11.25" customHeight="1" x14ac:dyDescent="0.15">
      <c r="E110" s="27" t="str">
        <f>$D$109&amp;"1."</f>
        <v>7.13.3.1.</v>
      </c>
      <c r="F110" s="28" t="s">
        <v>191</v>
      </c>
    </row>
    <row r="111" spans="4:35" ht="11.25" customHeight="1" x14ac:dyDescent="0.15">
      <c r="E111" s="27"/>
      <c r="F111" s="15" t="s">
        <v>93</v>
      </c>
      <c r="G111" s="4" t="s">
        <v>112</v>
      </c>
    </row>
    <row r="112" spans="4:35" ht="11.25" customHeight="1" x14ac:dyDescent="0.15">
      <c r="E112" s="27"/>
      <c r="F112" s="28"/>
      <c r="G112" s="24" t="s">
        <v>113</v>
      </c>
      <c r="H112" s="25"/>
      <c r="I112" s="26"/>
      <c r="J112" s="25" t="s">
        <v>114</v>
      </c>
      <c r="K112" s="25"/>
      <c r="L112" s="26"/>
      <c r="M112" s="25" t="s">
        <v>115</v>
      </c>
      <c r="N112" s="25"/>
      <c r="O112" s="25"/>
      <c r="P112" s="25"/>
      <c r="Q112" s="26"/>
      <c r="R112" s="25" t="s">
        <v>116</v>
      </c>
      <c r="S112" s="25"/>
      <c r="T112" s="25"/>
      <c r="U112" s="25"/>
      <c r="V112" s="25"/>
      <c r="W112" s="25"/>
      <c r="X112" s="25"/>
      <c r="Y112" s="25"/>
      <c r="Z112" s="25"/>
      <c r="AA112" s="25"/>
      <c r="AB112" s="25"/>
      <c r="AC112" s="25"/>
      <c r="AD112" s="25"/>
      <c r="AE112" s="25"/>
      <c r="AF112" s="25"/>
      <c r="AG112" s="25"/>
      <c r="AH112" s="25"/>
      <c r="AI112" s="26"/>
    </row>
    <row r="113" spans="5:35" ht="11.25" customHeight="1" x14ac:dyDescent="0.15">
      <c r="E113" s="27"/>
      <c r="F113" s="28"/>
      <c r="G113" s="20" t="s">
        <v>117</v>
      </c>
      <c r="H113" s="21"/>
      <c r="I113" s="22"/>
      <c r="J113" s="21" t="s">
        <v>118</v>
      </c>
      <c r="K113" s="21"/>
      <c r="L113" s="22"/>
      <c r="M113" s="21" t="s">
        <v>119</v>
      </c>
      <c r="N113" s="21"/>
      <c r="O113" s="21"/>
      <c r="P113" s="21"/>
      <c r="Q113" s="22"/>
      <c r="R113" s="21" t="s">
        <v>120</v>
      </c>
      <c r="S113" s="21"/>
      <c r="T113" s="21"/>
      <c r="U113" s="21"/>
      <c r="V113" s="21"/>
      <c r="W113" s="21"/>
      <c r="X113" s="21"/>
      <c r="Y113" s="21"/>
      <c r="Z113" s="21"/>
      <c r="AA113" s="21"/>
      <c r="AB113" s="21"/>
      <c r="AC113" s="21"/>
      <c r="AD113" s="21"/>
      <c r="AE113" s="21"/>
      <c r="AF113" s="21"/>
      <c r="AG113" s="21"/>
      <c r="AH113" s="21"/>
      <c r="AI113" s="22"/>
    </row>
    <row r="114" spans="5:35" ht="11.25" customHeight="1" x14ac:dyDescent="0.15">
      <c r="E114" s="27"/>
      <c r="F114" s="28"/>
      <c r="G114" s="18"/>
      <c r="H114" s="19"/>
      <c r="I114" s="23"/>
      <c r="J114" s="19"/>
      <c r="K114" s="19"/>
      <c r="L114" s="23"/>
      <c r="M114" s="19"/>
      <c r="N114" s="19"/>
      <c r="O114" s="19"/>
      <c r="P114" s="19"/>
      <c r="Q114" s="23"/>
      <c r="R114" s="19" t="s">
        <v>121</v>
      </c>
      <c r="S114" s="19"/>
      <c r="T114" s="19"/>
      <c r="U114" s="19"/>
      <c r="V114" s="19"/>
      <c r="W114" s="19"/>
      <c r="X114" s="19"/>
      <c r="Y114" s="19"/>
      <c r="Z114" s="19"/>
      <c r="AA114" s="19"/>
      <c r="AB114" s="19"/>
      <c r="AC114" s="19"/>
      <c r="AD114" s="19"/>
      <c r="AE114" s="19"/>
      <c r="AF114" s="19"/>
      <c r="AG114" s="19"/>
      <c r="AH114" s="19"/>
      <c r="AI114" s="23"/>
    </row>
    <row r="115" spans="5:35" ht="11.25" customHeight="1" x14ac:dyDescent="0.15">
      <c r="E115" s="27"/>
      <c r="F115" s="28"/>
    </row>
    <row r="116" spans="5:35" ht="11.25" customHeight="1" x14ac:dyDescent="0.15">
      <c r="E116" s="27"/>
      <c r="F116" s="15" t="s">
        <v>107</v>
      </c>
      <c r="G116" s="4" t="s">
        <v>122</v>
      </c>
    </row>
    <row r="117" spans="5:35" ht="11.25" customHeight="1" x14ac:dyDescent="0.15">
      <c r="E117" s="27"/>
      <c r="F117" s="15"/>
      <c r="G117" s="27" t="str">
        <f>F116&amp;"-1"</f>
        <v>(2)-1</v>
      </c>
      <c r="H117" s="4" t="s">
        <v>123</v>
      </c>
    </row>
    <row r="118" spans="5:35" ht="11.25" customHeight="1" x14ac:dyDescent="0.15">
      <c r="E118" s="27"/>
      <c r="F118" s="27"/>
      <c r="G118" s="15"/>
      <c r="H118" s="33" t="s">
        <v>198</v>
      </c>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row>
    <row r="119" spans="5:35" ht="11.25" customHeight="1" x14ac:dyDescent="0.15">
      <c r="E119" s="27"/>
      <c r="F119" s="27"/>
      <c r="G119" s="15"/>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row>
    <row r="120" spans="5:35" ht="11.25" customHeight="1" x14ac:dyDescent="0.15">
      <c r="E120" s="27"/>
      <c r="F120" s="15"/>
      <c r="G120" s="27" t="str">
        <f>F116&amp;"-2"</f>
        <v>(2)-2</v>
      </c>
      <c r="H120" s="4" t="s">
        <v>217</v>
      </c>
    </row>
    <row r="121" spans="5:35" ht="11.25" customHeight="1" x14ac:dyDescent="0.15">
      <c r="H121" s="24" t="s">
        <v>124</v>
      </c>
      <c r="I121" s="25"/>
      <c r="J121" s="25"/>
      <c r="K121" s="25"/>
      <c r="L121" s="24" t="s">
        <v>215</v>
      </c>
      <c r="M121" s="25"/>
      <c r="N121" s="25"/>
      <c r="O121" s="26"/>
      <c r="P121" s="25" t="s">
        <v>88</v>
      </c>
      <c r="Q121" s="25"/>
      <c r="R121" s="25"/>
      <c r="S121" s="25"/>
      <c r="T121" s="25"/>
      <c r="U121" s="25"/>
      <c r="V121" s="25"/>
      <c r="W121" s="25"/>
      <c r="X121" s="25"/>
      <c r="Y121" s="25"/>
      <c r="Z121" s="25"/>
      <c r="AA121" s="25"/>
      <c r="AB121" s="25"/>
      <c r="AC121" s="25"/>
      <c r="AD121" s="25"/>
      <c r="AE121" s="25"/>
      <c r="AF121" s="25"/>
      <c r="AG121" s="25"/>
      <c r="AH121" s="25"/>
      <c r="AI121" s="26"/>
    </row>
    <row r="122" spans="5:35" ht="11.25" customHeight="1" x14ac:dyDescent="0.15">
      <c r="H122" s="16" t="s">
        <v>125</v>
      </c>
      <c r="L122" s="16" t="s">
        <v>199</v>
      </c>
      <c r="O122" s="17"/>
      <c r="P122" s="4" t="s">
        <v>221</v>
      </c>
      <c r="AI122" s="17"/>
    </row>
    <row r="123" spans="5:35" ht="11.25" customHeight="1" x14ac:dyDescent="0.15">
      <c r="H123" s="29" t="s">
        <v>126</v>
      </c>
      <c r="I123" s="30"/>
      <c r="J123" s="30"/>
      <c r="K123" s="30"/>
      <c r="L123" s="29" t="s">
        <v>201</v>
      </c>
      <c r="M123" s="30"/>
      <c r="N123" s="30"/>
      <c r="O123" s="31"/>
      <c r="P123" s="30" t="s">
        <v>216</v>
      </c>
      <c r="Q123" s="30"/>
      <c r="R123" s="30"/>
      <c r="S123" s="30"/>
      <c r="T123" s="30"/>
      <c r="U123" s="30"/>
      <c r="V123" s="30"/>
      <c r="W123" s="30"/>
      <c r="X123" s="30"/>
      <c r="Y123" s="30"/>
      <c r="Z123" s="30"/>
      <c r="AA123" s="30"/>
      <c r="AB123" s="30"/>
      <c r="AC123" s="30"/>
      <c r="AD123" s="30"/>
      <c r="AE123" s="30"/>
      <c r="AF123" s="30"/>
      <c r="AG123" s="30"/>
      <c r="AH123" s="30"/>
      <c r="AI123" s="31"/>
    </row>
    <row r="124" spans="5:35" ht="11.25" customHeight="1" x14ac:dyDescent="0.15">
      <c r="H124" s="29" t="s">
        <v>200</v>
      </c>
      <c r="I124" s="30"/>
      <c r="J124" s="30"/>
      <c r="K124" s="30"/>
      <c r="L124" s="29" t="s">
        <v>219</v>
      </c>
      <c r="M124" s="30"/>
      <c r="N124" s="30"/>
      <c r="O124" s="31"/>
      <c r="P124" s="19" t="s">
        <v>220</v>
      </c>
      <c r="Q124" s="30"/>
      <c r="R124" s="30"/>
      <c r="S124" s="30"/>
      <c r="T124" s="30"/>
      <c r="U124" s="30"/>
      <c r="V124" s="30"/>
      <c r="W124" s="30"/>
      <c r="X124" s="30"/>
      <c r="Y124" s="30"/>
      <c r="Z124" s="30"/>
      <c r="AA124" s="30"/>
      <c r="AB124" s="30"/>
      <c r="AC124" s="30"/>
      <c r="AD124" s="30"/>
      <c r="AE124" s="30"/>
      <c r="AF124" s="30"/>
      <c r="AG124" s="30"/>
      <c r="AH124" s="30"/>
      <c r="AI124" s="31"/>
    </row>
    <row r="125" spans="5:35" ht="11.25" customHeight="1" x14ac:dyDescent="0.15">
      <c r="H125" s="16" t="s">
        <v>127</v>
      </c>
      <c r="L125" s="16" t="s">
        <v>203</v>
      </c>
      <c r="O125" s="17"/>
      <c r="P125" s="4" t="s">
        <v>128</v>
      </c>
      <c r="AI125" s="17"/>
    </row>
    <row r="126" spans="5:35" ht="11.25" customHeight="1" x14ac:dyDescent="0.15">
      <c r="H126" s="16"/>
      <c r="L126" s="16"/>
      <c r="O126" s="17"/>
      <c r="P126" s="4" t="s">
        <v>129</v>
      </c>
      <c r="AI126" s="17"/>
    </row>
    <row r="127" spans="5:35" ht="11.25" customHeight="1" x14ac:dyDescent="0.15">
      <c r="H127" s="18"/>
      <c r="I127" s="19"/>
      <c r="J127" s="19"/>
      <c r="K127" s="19"/>
      <c r="L127" s="18"/>
      <c r="M127" s="19"/>
      <c r="N127" s="19"/>
      <c r="O127" s="23"/>
      <c r="P127" s="19" t="s">
        <v>130</v>
      </c>
      <c r="Q127" s="19"/>
      <c r="R127" s="19"/>
      <c r="S127" s="19"/>
      <c r="T127" s="19"/>
      <c r="U127" s="19"/>
      <c r="V127" s="19"/>
      <c r="W127" s="19"/>
      <c r="X127" s="19"/>
      <c r="Y127" s="19"/>
      <c r="Z127" s="19"/>
      <c r="AA127" s="19"/>
      <c r="AB127" s="19"/>
      <c r="AC127" s="19"/>
      <c r="AD127" s="19"/>
      <c r="AE127" s="19"/>
      <c r="AF127" s="19"/>
      <c r="AG127" s="19"/>
      <c r="AH127" s="19"/>
      <c r="AI127" s="23"/>
    </row>
    <row r="128" spans="5:35" ht="11.25" customHeight="1" x14ac:dyDescent="0.15">
      <c r="H128" s="18" t="s">
        <v>131</v>
      </c>
      <c r="I128" s="19"/>
      <c r="J128" s="19"/>
      <c r="K128" s="19"/>
      <c r="L128" s="18" t="s">
        <v>205</v>
      </c>
      <c r="M128" s="19"/>
      <c r="N128" s="19"/>
      <c r="O128" s="23"/>
      <c r="P128" s="19" t="s">
        <v>132</v>
      </c>
      <c r="Q128" s="19"/>
      <c r="R128" s="19"/>
      <c r="S128" s="19"/>
      <c r="T128" s="19"/>
      <c r="U128" s="19"/>
      <c r="V128" s="19"/>
      <c r="W128" s="19"/>
      <c r="X128" s="19"/>
      <c r="Y128" s="19"/>
      <c r="Z128" s="19"/>
      <c r="AA128" s="19"/>
      <c r="AB128" s="19"/>
      <c r="AC128" s="19"/>
      <c r="AD128" s="19"/>
      <c r="AE128" s="19"/>
      <c r="AF128" s="19"/>
      <c r="AG128" s="19"/>
      <c r="AH128" s="19"/>
      <c r="AI128" s="23"/>
    </row>
    <row r="129" spans="5:35" ht="11.25" customHeight="1" x14ac:dyDescent="0.15">
      <c r="H129" s="16" t="s">
        <v>133</v>
      </c>
      <c r="L129" s="16" t="s">
        <v>207</v>
      </c>
      <c r="O129" s="17"/>
      <c r="P129" s="4" t="s">
        <v>134</v>
      </c>
      <c r="AI129" s="17"/>
    </row>
    <row r="130" spans="5:35" ht="11.25" customHeight="1" x14ac:dyDescent="0.15">
      <c r="H130" s="16"/>
      <c r="L130" s="16"/>
      <c r="O130" s="17"/>
      <c r="P130" s="4" t="s">
        <v>135</v>
      </c>
      <c r="AI130" s="17"/>
    </row>
    <row r="131" spans="5:35" ht="11.25" customHeight="1" x14ac:dyDescent="0.15">
      <c r="H131" s="16"/>
      <c r="L131" s="16"/>
      <c r="O131" s="17"/>
      <c r="Q131" s="24" t="s">
        <v>133</v>
      </c>
      <c r="R131" s="25"/>
      <c r="S131" s="25"/>
      <c r="T131" s="25"/>
      <c r="U131" s="26"/>
      <c r="V131" s="25" t="s">
        <v>136</v>
      </c>
      <c r="W131" s="25"/>
      <c r="X131" s="26"/>
      <c r="AI131" s="17"/>
    </row>
    <row r="132" spans="5:35" ht="11.25" customHeight="1" x14ac:dyDescent="0.15">
      <c r="H132" s="16"/>
      <c r="L132" s="16"/>
      <c r="O132" s="17"/>
      <c r="Q132" s="29" t="s">
        <v>184</v>
      </c>
      <c r="R132" s="30"/>
      <c r="S132" s="30"/>
      <c r="T132" s="30"/>
      <c r="U132" s="31"/>
      <c r="V132" s="30" t="s">
        <v>137</v>
      </c>
      <c r="W132" s="30"/>
      <c r="X132" s="31"/>
      <c r="AI132" s="17"/>
    </row>
    <row r="133" spans="5:35" ht="11.25" customHeight="1" x14ac:dyDescent="0.15">
      <c r="H133" s="16"/>
      <c r="L133" s="16"/>
      <c r="O133" s="17"/>
      <c r="Q133" s="18" t="s">
        <v>102</v>
      </c>
      <c r="R133" s="19"/>
      <c r="S133" s="19"/>
      <c r="T133" s="19"/>
      <c r="U133" s="23"/>
      <c r="V133" s="19" t="s">
        <v>138</v>
      </c>
      <c r="W133" s="19"/>
      <c r="X133" s="23"/>
      <c r="AI133" s="17"/>
    </row>
    <row r="134" spans="5:35" ht="11.25" customHeight="1" x14ac:dyDescent="0.15">
      <c r="H134" s="16"/>
      <c r="L134" s="16"/>
      <c r="O134" s="17"/>
      <c r="Q134" s="18" t="s">
        <v>103</v>
      </c>
      <c r="R134" s="19"/>
      <c r="S134" s="19"/>
      <c r="T134" s="19"/>
      <c r="U134" s="23"/>
      <c r="V134" s="19" t="s">
        <v>183</v>
      </c>
      <c r="W134" s="19"/>
      <c r="X134" s="23"/>
      <c r="AI134" s="17"/>
    </row>
    <row r="135" spans="5:35" ht="11.25" customHeight="1" x14ac:dyDescent="0.15">
      <c r="H135" s="18"/>
      <c r="I135" s="19"/>
      <c r="J135" s="19"/>
      <c r="K135" s="19"/>
      <c r="L135" s="18"/>
      <c r="M135" s="19"/>
      <c r="N135" s="19"/>
      <c r="O135" s="23"/>
      <c r="P135" s="19"/>
      <c r="Q135" s="19"/>
      <c r="R135" s="19"/>
      <c r="S135" s="19"/>
      <c r="T135" s="19"/>
      <c r="U135" s="19"/>
      <c r="V135" s="19"/>
      <c r="W135" s="19"/>
      <c r="X135" s="19"/>
      <c r="Y135" s="19"/>
      <c r="Z135" s="19"/>
      <c r="AA135" s="19"/>
      <c r="AB135" s="19"/>
      <c r="AC135" s="19"/>
      <c r="AD135" s="19"/>
      <c r="AE135" s="19"/>
      <c r="AF135" s="19"/>
      <c r="AG135" s="19"/>
      <c r="AH135" s="19"/>
      <c r="AI135" s="23"/>
    </row>
    <row r="136" spans="5:35" ht="11.25" customHeight="1" x14ac:dyDescent="0.15">
      <c r="H136" s="16" t="s">
        <v>139</v>
      </c>
      <c r="L136" s="16" t="s">
        <v>209</v>
      </c>
      <c r="O136" s="17"/>
      <c r="P136" s="4" t="s">
        <v>140</v>
      </c>
      <c r="AI136" s="17"/>
    </row>
    <row r="137" spans="5:35" ht="11.25" customHeight="1" x14ac:dyDescent="0.15">
      <c r="H137" s="20" t="s">
        <v>141</v>
      </c>
      <c r="I137" s="21"/>
      <c r="J137" s="21"/>
      <c r="K137" s="22"/>
      <c r="L137" s="20" t="s">
        <v>211</v>
      </c>
      <c r="M137" s="21"/>
      <c r="N137" s="21"/>
      <c r="O137" s="22"/>
      <c r="P137" s="20" t="s">
        <v>142</v>
      </c>
      <c r="Q137" s="21"/>
      <c r="R137" s="21"/>
      <c r="S137" s="21"/>
      <c r="T137" s="21"/>
      <c r="U137" s="21"/>
      <c r="V137" s="21"/>
      <c r="W137" s="21"/>
      <c r="X137" s="21"/>
      <c r="Y137" s="21"/>
      <c r="Z137" s="21"/>
      <c r="AA137" s="21"/>
      <c r="AB137" s="21"/>
      <c r="AC137" s="21"/>
      <c r="AD137" s="21"/>
      <c r="AE137" s="21"/>
      <c r="AF137" s="21"/>
      <c r="AG137" s="21"/>
      <c r="AH137" s="21"/>
      <c r="AI137" s="22"/>
    </row>
    <row r="138" spans="5:35" ht="11.25" customHeight="1" x14ac:dyDescent="0.15">
      <c r="H138" s="18"/>
      <c r="I138" s="19"/>
      <c r="J138" s="19"/>
      <c r="K138" s="23"/>
      <c r="L138" s="18"/>
      <c r="M138" s="19"/>
      <c r="N138" s="19"/>
      <c r="O138" s="23"/>
      <c r="P138" s="18" t="s">
        <v>143</v>
      </c>
      <c r="Q138" s="19"/>
      <c r="R138" s="19"/>
      <c r="S138" s="19"/>
      <c r="T138" s="19"/>
      <c r="U138" s="19"/>
      <c r="V138" s="19"/>
      <c r="W138" s="19"/>
      <c r="X138" s="19"/>
      <c r="Y138" s="19"/>
      <c r="Z138" s="19"/>
      <c r="AA138" s="19"/>
      <c r="AB138" s="19"/>
      <c r="AC138" s="19"/>
      <c r="AD138" s="19"/>
      <c r="AE138" s="19"/>
      <c r="AF138" s="19"/>
      <c r="AG138" s="19"/>
      <c r="AH138" s="19"/>
      <c r="AI138" s="23"/>
    </row>
    <row r="139" spans="5:35" ht="11.25" customHeight="1" x14ac:dyDescent="0.15">
      <c r="H139" s="16" t="s">
        <v>144</v>
      </c>
      <c r="L139" s="16" t="s">
        <v>213</v>
      </c>
      <c r="P139" s="16" t="s">
        <v>145</v>
      </c>
      <c r="AI139" s="17"/>
    </row>
    <row r="140" spans="5:35" ht="11.25" customHeight="1" x14ac:dyDescent="0.15">
      <c r="H140" s="18"/>
      <c r="I140" s="19"/>
      <c r="J140" s="19"/>
      <c r="K140" s="19"/>
      <c r="L140" s="18"/>
      <c r="M140" s="19"/>
      <c r="N140" s="19"/>
      <c r="O140" s="19"/>
      <c r="P140" s="18" t="str">
        <f>"フォーマットは"&amp;$D$190&amp;$E$190&amp;"参照。"</f>
        <v>フォーマットは7.13.4.ログの種類ごとのフォーマット参照。</v>
      </c>
      <c r="Q140" s="19"/>
      <c r="R140" s="19"/>
      <c r="S140" s="19"/>
      <c r="T140" s="19"/>
      <c r="U140" s="19"/>
      <c r="V140" s="19"/>
      <c r="W140" s="19"/>
      <c r="X140" s="19"/>
      <c r="Y140" s="19"/>
      <c r="Z140" s="19"/>
      <c r="AA140" s="19"/>
      <c r="AB140" s="19"/>
      <c r="AC140" s="19"/>
      <c r="AD140" s="19"/>
      <c r="AE140" s="19"/>
      <c r="AF140" s="19"/>
      <c r="AG140" s="19"/>
      <c r="AH140" s="19"/>
      <c r="AI140" s="23"/>
    </row>
    <row r="141" spans="5:35" ht="11.25" customHeight="1" x14ac:dyDescent="0.15"/>
    <row r="142" spans="5:35" ht="11.25" customHeight="1" x14ac:dyDescent="0.15">
      <c r="E142" s="27"/>
      <c r="F142" s="15" t="s">
        <v>108</v>
      </c>
      <c r="G142" s="4" t="s">
        <v>146</v>
      </c>
    </row>
    <row r="143" spans="5:35" ht="11.25" customHeight="1" x14ac:dyDescent="0.15">
      <c r="E143" s="27"/>
      <c r="F143" s="15"/>
      <c r="G143" s="35" t="s">
        <v>224</v>
      </c>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2"/>
    </row>
    <row r="144" spans="5:35" ht="11.25" customHeight="1" x14ac:dyDescent="0.15">
      <c r="E144" s="27"/>
      <c r="F144" s="15"/>
      <c r="G144" s="36" t="s">
        <v>223</v>
      </c>
      <c r="AI144" s="17"/>
    </row>
    <row r="145" spans="5:35" ht="11.25" customHeight="1" x14ac:dyDescent="0.15">
      <c r="E145" s="27"/>
      <c r="F145" s="15"/>
      <c r="G145" s="36" t="s">
        <v>222</v>
      </c>
      <c r="AI145" s="17"/>
    </row>
    <row r="146" spans="5:35" ht="11.25" customHeight="1" x14ac:dyDescent="0.15">
      <c r="E146" s="27"/>
      <c r="F146" s="15"/>
      <c r="G146" s="37"/>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23"/>
    </row>
    <row r="147" spans="5:35" ht="11.25" customHeight="1" x14ac:dyDescent="0.15">
      <c r="E147" s="27"/>
      <c r="F147" s="15"/>
      <c r="G147" s="48" t="s">
        <v>225</v>
      </c>
      <c r="H147" s="47"/>
      <c r="I147" s="47"/>
      <c r="J147" s="47"/>
      <c r="K147" s="47"/>
      <c r="L147" s="47"/>
      <c r="M147" s="47"/>
      <c r="N147" s="47"/>
      <c r="O147" s="47"/>
      <c r="P147" s="47"/>
      <c r="Q147" s="47"/>
      <c r="R147" s="47"/>
      <c r="S147" s="47"/>
      <c r="T147" s="47"/>
      <c r="U147" s="47"/>
      <c r="V147" s="47"/>
      <c r="W147" s="47"/>
      <c r="X147" s="47"/>
      <c r="Y147" s="47"/>
      <c r="Z147" s="47"/>
      <c r="AA147" s="47"/>
      <c r="AB147" s="47"/>
      <c r="AC147" s="47"/>
      <c r="AD147" s="47"/>
      <c r="AE147" s="47"/>
      <c r="AF147" s="47"/>
      <c r="AG147" s="47"/>
      <c r="AH147" s="47"/>
      <c r="AI147" s="47"/>
    </row>
    <row r="148" spans="5:35" ht="11.25" customHeight="1" x14ac:dyDescent="0.15">
      <c r="E148" s="27"/>
      <c r="F148" s="15"/>
      <c r="G148" s="38"/>
    </row>
    <row r="149" spans="5:35" ht="11.25" customHeight="1" x14ac:dyDescent="0.15">
      <c r="E149" s="27" t="str">
        <f>$D$109&amp;"2."</f>
        <v>7.13.3.2.</v>
      </c>
      <c r="F149" s="28" t="s">
        <v>192</v>
      </c>
    </row>
    <row r="150" spans="5:35" ht="11.25" customHeight="1" x14ac:dyDescent="0.15">
      <c r="E150" s="27"/>
      <c r="F150" s="15" t="s">
        <v>93</v>
      </c>
      <c r="G150" s="4" t="s">
        <v>112</v>
      </c>
    </row>
    <row r="151" spans="5:35" ht="11.25" customHeight="1" x14ac:dyDescent="0.15">
      <c r="E151" s="27"/>
      <c r="F151" s="28"/>
      <c r="G151" s="24" t="s">
        <v>113</v>
      </c>
      <c r="H151" s="25"/>
      <c r="I151" s="25"/>
      <c r="J151" s="25"/>
      <c r="K151" s="26"/>
      <c r="L151" s="25" t="s">
        <v>114</v>
      </c>
      <c r="M151" s="25"/>
      <c r="N151" s="26"/>
      <c r="O151" s="25" t="s">
        <v>115</v>
      </c>
      <c r="P151" s="25"/>
      <c r="Q151" s="25"/>
      <c r="R151" s="26"/>
      <c r="S151" s="25" t="s">
        <v>116</v>
      </c>
      <c r="T151" s="25"/>
      <c r="U151" s="25"/>
      <c r="V151" s="25"/>
      <c r="W151" s="25"/>
      <c r="X151" s="25"/>
      <c r="Y151" s="25"/>
      <c r="Z151" s="25"/>
      <c r="AA151" s="25"/>
      <c r="AB151" s="25"/>
      <c r="AC151" s="25"/>
      <c r="AD151" s="25"/>
      <c r="AE151" s="25"/>
      <c r="AF151" s="25"/>
      <c r="AG151" s="25"/>
      <c r="AH151" s="25"/>
      <c r="AI151" s="26"/>
    </row>
    <row r="152" spans="5:35" ht="11.25" customHeight="1" x14ac:dyDescent="0.15">
      <c r="E152" s="27"/>
      <c r="F152" s="28"/>
      <c r="G152" s="29" t="s">
        <v>57</v>
      </c>
      <c r="H152" s="30"/>
      <c r="I152" s="30"/>
      <c r="J152" s="30"/>
      <c r="K152" s="31"/>
      <c r="L152" s="30" t="s">
        <v>147</v>
      </c>
      <c r="M152" s="30"/>
      <c r="N152" s="31"/>
      <c r="O152" s="30" t="s">
        <v>148</v>
      </c>
      <c r="P152" s="30"/>
      <c r="Q152" s="30"/>
      <c r="R152" s="31"/>
      <c r="S152" s="30" t="s">
        <v>149</v>
      </c>
      <c r="T152" s="30"/>
      <c r="U152" s="30"/>
      <c r="V152" s="30"/>
      <c r="W152" s="30"/>
      <c r="X152" s="30"/>
      <c r="Y152" s="30"/>
      <c r="Z152" s="30"/>
      <c r="AA152" s="30"/>
      <c r="AB152" s="30"/>
      <c r="AC152" s="30"/>
      <c r="AD152" s="30"/>
      <c r="AE152" s="30"/>
      <c r="AF152" s="30"/>
      <c r="AG152" s="30"/>
      <c r="AH152" s="30"/>
      <c r="AI152" s="31"/>
    </row>
    <row r="153" spans="5:35" ht="11.25" customHeight="1" x14ac:dyDescent="0.15">
      <c r="E153" s="27"/>
      <c r="F153" s="28"/>
      <c r="G153" s="16" t="s">
        <v>61</v>
      </c>
      <c r="K153" s="17"/>
      <c r="L153" s="4" t="s">
        <v>150</v>
      </c>
      <c r="N153" s="17"/>
      <c r="O153" s="4" t="s">
        <v>150</v>
      </c>
      <c r="R153" s="17"/>
      <c r="S153" s="4" t="s">
        <v>151</v>
      </c>
      <c r="AI153" s="17"/>
    </row>
    <row r="154" spans="5:35" ht="11.25" customHeight="1" x14ac:dyDescent="0.15">
      <c r="E154" s="27"/>
      <c r="F154" s="28"/>
      <c r="G154" s="18"/>
      <c r="H154" s="19"/>
      <c r="I154" s="19"/>
      <c r="J154" s="19"/>
      <c r="K154" s="23"/>
      <c r="L154" s="19"/>
      <c r="M154" s="19"/>
      <c r="N154" s="23"/>
      <c r="O154" s="19"/>
      <c r="P154" s="19"/>
      <c r="Q154" s="19"/>
      <c r="R154" s="23"/>
      <c r="S154" s="19" t="s">
        <v>152</v>
      </c>
      <c r="T154" s="19"/>
      <c r="U154" s="19"/>
      <c r="V154" s="19"/>
      <c r="W154" s="19"/>
      <c r="X154" s="19"/>
      <c r="Y154" s="19"/>
      <c r="Z154" s="19"/>
      <c r="AA154" s="19"/>
      <c r="AB154" s="19"/>
      <c r="AC154" s="19"/>
      <c r="AD154" s="19"/>
      <c r="AE154" s="19"/>
      <c r="AF154" s="19"/>
      <c r="AG154" s="19"/>
      <c r="AH154" s="19"/>
      <c r="AI154" s="23"/>
    </row>
    <row r="155" spans="5:35" ht="11.25" customHeight="1" x14ac:dyDescent="0.15">
      <c r="E155" s="27"/>
      <c r="F155" s="28"/>
      <c r="G155" s="29" t="s">
        <v>106</v>
      </c>
      <c r="H155" s="30"/>
      <c r="I155" s="30"/>
      <c r="J155" s="30"/>
      <c r="K155" s="31"/>
      <c r="L155" s="30" t="s">
        <v>153</v>
      </c>
      <c r="M155" s="30"/>
      <c r="N155" s="31"/>
      <c r="O155" s="30" t="s">
        <v>154</v>
      </c>
      <c r="P155" s="30"/>
      <c r="Q155" s="30"/>
      <c r="R155" s="31"/>
      <c r="S155" s="30" t="s">
        <v>155</v>
      </c>
      <c r="T155" s="30"/>
      <c r="U155" s="30"/>
      <c r="V155" s="30"/>
      <c r="W155" s="30"/>
      <c r="X155" s="30"/>
      <c r="Y155" s="30"/>
      <c r="Z155" s="30"/>
      <c r="AA155" s="30"/>
      <c r="AB155" s="30"/>
      <c r="AC155" s="30"/>
      <c r="AD155" s="30"/>
      <c r="AE155" s="30"/>
      <c r="AF155" s="30"/>
      <c r="AG155" s="30"/>
      <c r="AH155" s="30"/>
      <c r="AI155" s="31"/>
    </row>
    <row r="156" spans="5:35" ht="11.25" customHeight="1" x14ac:dyDescent="0.15">
      <c r="E156" s="27"/>
      <c r="F156" s="28"/>
      <c r="G156" s="29" t="s">
        <v>69</v>
      </c>
      <c r="H156" s="30"/>
      <c r="I156" s="30"/>
      <c r="J156" s="30"/>
      <c r="K156" s="31"/>
      <c r="L156" s="30" t="s">
        <v>156</v>
      </c>
      <c r="M156" s="30"/>
      <c r="N156" s="31"/>
      <c r="O156" s="30" t="s">
        <v>157</v>
      </c>
      <c r="P156" s="30"/>
      <c r="Q156" s="30"/>
      <c r="R156" s="31"/>
      <c r="S156" s="30" t="s">
        <v>158</v>
      </c>
      <c r="T156" s="30"/>
      <c r="U156" s="30"/>
      <c r="V156" s="30"/>
      <c r="W156" s="30"/>
      <c r="X156" s="30"/>
      <c r="Y156" s="30"/>
      <c r="Z156" s="30"/>
      <c r="AA156" s="30"/>
      <c r="AB156" s="30"/>
      <c r="AC156" s="30"/>
      <c r="AD156" s="30"/>
      <c r="AE156" s="30"/>
      <c r="AF156" s="30"/>
      <c r="AG156" s="30"/>
      <c r="AH156" s="30"/>
      <c r="AI156" s="31"/>
    </row>
    <row r="157" spans="5:35" ht="11.25" customHeight="1" x14ac:dyDescent="0.15">
      <c r="E157" s="27"/>
      <c r="F157" s="28"/>
    </row>
    <row r="158" spans="5:35" ht="11.25" customHeight="1" x14ac:dyDescent="0.15">
      <c r="E158" s="27"/>
      <c r="F158" s="15" t="s">
        <v>107</v>
      </c>
      <c r="G158" s="4" t="s">
        <v>122</v>
      </c>
    </row>
    <row r="159" spans="5:35" ht="11.25" customHeight="1" x14ac:dyDescent="0.15">
      <c r="E159" s="27"/>
      <c r="F159" s="15"/>
      <c r="G159" s="27" t="str">
        <f>F158&amp;"-1"</f>
        <v>(2)-1</v>
      </c>
      <c r="H159" s="4" t="s">
        <v>123</v>
      </c>
    </row>
    <row r="160" spans="5:35" ht="11.25" customHeight="1" x14ac:dyDescent="0.15">
      <c r="E160" s="27"/>
      <c r="F160" s="27"/>
      <c r="G160" s="15"/>
      <c r="H160" s="33" t="s">
        <v>198</v>
      </c>
    </row>
    <row r="161" spans="5:35" ht="11.25" customHeight="1" x14ac:dyDescent="0.15">
      <c r="E161" s="27"/>
      <c r="F161" s="15"/>
    </row>
    <row r="162" spans="5:35" ht="11.25" customHeight="1" x14ac:dyDescent="0.15">
      <c r="E162" s="27"/>
      <c r="F162" s="15"/>
      <c r="G162" s="27" t="str">
        <f>F158&amp;"-2"</f>
        <v>(2)-2</v>
      </c>
      <c r="H162" s="4" t="s">
        <v>217</v>
      </c>
    </row>
    <row r="163" spans="5:35" ht="11.25" customHeight="1" x14ac:dyDescent="0.15">
      <c r="E163" s="27"/>
      <c r="F163" s="15"/>
      <c r="G163" s="27"/>
      <c r="H163" s="24" t="s">
        <v>124</v>
      </c>
      <c r="I163" s="25"/>
      <c r="J163" s="25"/>
      <c r="K163" s="25"/>
      <c r="L163" s="25"/>
      <c r="M163" s="24" t="s">
        <v>215</v>
      </c>
      <c r="N163" s="25"/>
      <c r="O163" s="25"/>
      <c r="P163" s="25"/>
      <c r="Q163" s="26"/>
      <c r="R163" s="25" t="s">
        <v>88</v>
      </c>
      <c r="S163" s="25"/>
      <c r="T163" s="25"/>
      <c r="U163" s="25"/>
      <c r="V163" s="25"/>
      <c r="W163" s="25"/>
      <c r="X163" s="25"/>
      <c r="Y163" s="25"/>
      <c r="Z163" s="25"/>
      <c r="AA163" s="25"/>
      <c r="AB163" s="25"/>
      <c r="AC163" s="25"/>
      <c r="AD163" s="25"/>
      <c r="AE163" s="25"/>
      <c r="AF163" s="25"/>
      <c r="AG163" s="25"/>
      <c r="AH163" s="25"/>
      <c r="AI163" s="26"/>
    </row>
    <row r="164" spans="5:35" ht="11.25" customHeight="1" x14ac:dyDescent="0.15">
      <c r="E164" s="27"/>
      <c r="H164" s="29" t="s">
        <v>125</v>
      </c>
      <c r="I164" s="30"/>
      <c r="J164" s="30"/>
      <c r="K164" s="30"/>
      <c r="L164" s="30"/>
      <c r="M164" s="29" t="s">
        <v>199</v>
      </c>
      <c r="N164" s="30"/>
      <c r="O164" s="30"/>
      <c r="P164" s="30"/>
      <c r="Q164" s="31"/>
      <c r="R164" s="30" t="s">
        <v>125</v>
      </c>
      <c r="S164" s="30"/>
      <c r="T164" s="30"/>
      <c r="U164" s="30"/>
      <c r="V164" s="30"/>
      <c r="W164" s="30"/>
      <c r="X164" s="30"/>
      <c r="Y164" s="30"/>
      <c r="Z164" s="30"/>
      <c r="AA164" s="30"/>
      <c r="AB164" s="30"/>
      <c r="AC164" s="30"/>
      <c r="AD164" s="30"/>
      <c r="AE164" s="30"/>
      <c r="AF164" s="30"/>
      <c r="AG164" s="30"/>
      <c r="AH164" s="30"/>
      <c r="AI164" s="31"/>
    </row>
    <row r="165" spans="5:35" ht="11.25" customHeight="1" x14ac:dyDescent="0.15">
      <c r="E165" s="27"/>
      <c r="H165" s="16" t="s">
        <v>126</v>
      </c>
      <c r="M165" s="16" t="s">
        <v>201</v>
      </c>
      <c r="Q165" s="17"/>
      <c r="R165" s="4" t="s">
        <v>159</v>
      </c>
      <c r="AI165" s="17"/>
    </row>
    <row r="166" spans="5:35" ht="11.25" customHeight="1" x14ac:dyDescent="0.15">
      <c r="E166" s="27"/>
      <c r="H166" s="18"/>
      <c r="I166" s="19"/>
      <c r="J166" s="19"/>
      <c r="K166" s="19"/>
      <c r="L166" s="19"/>
      <c r="M166" s="18"/>
      <c r="N166" s="19"/>
      <c r="O166" s="19"/>
      <c r="P166" s="19"/>
      <c r="Q166" s="23"/>
      <c r="R166" s="19" t="s">
        <v>160</v>
      </c>
      <c r="S166" s="19"/>
      <c r="T166" s="19"/>
      <c r="U166" s="19"/>
      <c r="V166" s="19"/>
      <c r="W166" s="19"/>
      <c r="X166" s="19"/>
      <c r="Y166" s="19"/>
      <c r="Z166" s="19"/>
      <c r="AA166" s="19"/>
      <c r="AB166" s="19"/>
      <c r="AC166" s="19"/>
      <c r="AD166" s="19"/>
      <c r="AE166" s="19"/>
      <c r="AF166" s="19"/>
      <c r="AG166" s="19"/>
      <c r="AH166" s="19"/>
      <c r="AI166" s="23"/>
    </row>
    <row r="167" spans="5:35" ht="11.25" customHeight="1" x14ac:dyDescent="0.15">
      <c r="E167" s="27"/>
      <c r="H167" s="18" t="s">
        <v>161</v>
      </c>
      <c r="I167" s="19"/>
      <c r="J167" s="19"/>
      <c r="K167" s="19"/>
      <c r="L167" s="19"/>
      <c r="M167" s="18" t="s">
        <v>218</v>
      </c>
      <c r="N167" s="19"/>
      <c r="O167" s="19"/>
      <c r="P167" s="19"/>
      <c r="Q167" s="23"/>
      <c r="R167" s="19" t="s">
        <v>161</v>
      </c>
      <c r="S167" s="19"/>
      <c r="T167" s="19"/>
      <c r="U167" s="19"/>
      <c r="V167" s="19"/>
      <c r="W167" s="19"/>
      <c r="X167" s="19"/>
      <c r="Y167" s="19"/>
      <c r="Z167" s="19"/>
      <c r="AA167" s="19"/>
      <c r="AB167" s="19"/>
      <c r="AC167" s="19"/>
      <c r="AD167" s="19"/>
      <c r="AE167" s="19"/>
      <c r="AF167" s="19"/>
      <c r="AG167" s="19"/>
      <c r="AH167" s="19"/>
      <c r="AI167" s="23"/>
    </row>
    <row r="168" spans="5:35" ht="11.25" customHeight="1" x14ac:dyDescent="0.15">
      <c r="E168" s="27"/>
      <c r="H168" s="18" t="s">
        <v>127</v>
      </c>
      <c r="I168" s="19"/>
      <c r="J168" s="19"/>
      <c r="K168" s="19"/>
      <c r="L168" s="19"/>
      <c r="M168" s="18" t="s">
        <v>202</v>
      </c>
      <c r="N168" s="19"/>
      <c r="O168" s="19"/>
      <c r="P168" s="19"/>
      <c r="Q168" s="23"/>
      <c r="R168" s="19" t="s">
        <v>127</v>
      </c>
      <c r="S168" s="19"/>
      <c r="T168" s="19"/>
      <c r="U168" s="19"/>
      <c r="V168" s="19"/>
      <c r="W168" s="19"/>
      <c r="X168" s="19"/>
      <c r="Y168" s="19"/>
      <c r="Z168" s="19"/>
      <c r="AA168" s="19"/>
      <c r="AB168" s="19"/>
      <c r="AC168" s="19"/>
      <c r="AD168" s="19"/>
      <c r="AE168" s="19"/>
      <c r="AF168" s="19"/>
      <c r="AG168" s="19"/>
      <c r="AH168" s="19"/>
      <c r="AI168" s="23"/>
    </row>
    <row r="169" spans="5:35" ht="11.25" customHeight="1" x14ac:dyDescent="0.15">
      <c r="E169" s="27"/>
      <c r="H169" s="29" t="s">
        <v>162</v>
      </c>
      <c r="I169" s="30"/>
      <c r="J169" s="30"/>
      <c r="K169" s="30"/>
      <c r="L169" s="30"/>
      <c r="M169" s="29" t="s">
        <v>204</v>
      </c>
      <c r="N169" s="30"/>
      <c r="O169" s="30"/>
      <c r="P169" s="30"/>
      <c r="Q169" s="31"/>
      <c r="R169" s="30" t="s">
        <v>163</v>
      </c>
      <c r="S169" s="30"/>
      <c r="T169" s="30"/>
      <c r="U169" s="30"/>
      <c r="V169" s="30"/>
      <c r="W169" s="30"/>
      <c r="X169" s="30"/>
      <c r="Y169" s="30"/>
      <c r="Z169" s="30"/>
      <c r="AA169" s="30"/>
      <c r="AB169" s="30"/>
      <c r="AC169" s="30"/>
      <c r="AD169" s="30"/>
      <c r="AE169" s="30"/>
      <c r="AF169" s="30"/>
      <c r="AG169" s="30"/>
      <c r="AH169" s="30"/>
      <c r="AI169" s="31"/>
    </row>
    <row r="170" spans="5:35" ht="11.25" customHeight="1" x14ac:dyDescent="0.15">
      <c r="E170" s="27"/>
      <c r="H170" s="18" t="s">
        <v>134</v>
      </c>
      <c r="I170" s="19"/>
      <c r="J170" s="19"/>
      <c r="K170" s="19"/>
      <c r="L170" s="19"/>
      <c r="M170" s="18" t="s">
        <v>206</v>
      </c>
      <c r="N170" s="19"/>
      <c r="O170" s="19"/>
      <c r="P170" s="19"/>
      <c r="Q170" s="23"/>
      <c r="R170" s="19" t="s">
        <v>164</v>
      </c>
      <c r="S170" s="19"/>
      <c r="T170" s="19"/>
      <c r="U170" s="19"/>
      <c r="V170" s="19"/>
      <c r="W170" s="19"/>
      <c r="X170" s="19"/>
      <c r="Y170" s="19"/>
      <c r="Z170" s="19"/>
      <c r="AA170" s="19"/>
      <c r="AB170" s="19"/>
      <c r="AC170" s="19"/>
      <c r="AD170" s="19"/>
      <c r="AE170" s="19"/>
      <c r="AF170" s="19"/>
      <c r="AG170" s="19"/>
      <c r="AH170" s="19"/>
      <c r="AI170" s="23"/>
    </row>
    <row r="171" spans="5:35" ht="11.25" customHeight="1" x14ac:dyDescent="0.15">
      <c r="E171" s="27"/>
      <c r="H171" s="16" t="s">
        <v>139</v>
      </c>
      <c r="M171" s="16" t="s">
        <v>208</v>
      </c>
      <c r="Q171" s="17"/>
      <c r="R171" s="4" t="s">
        <v>139</v>
      </c>
      <c r="AI171" s="17"/>
    </row>
    <row r="172" spans="5:35" ht="11.25" customHeight="1" x14ac:dyDescent="0.15">
      <c r="E172" s="27"/>
      <c r="H172" s="20" t="s">
        <v>141</v>
      </c>
      <c r="I172" s="21"/>
      <c r="J172" s="21"/>
      <c r="K172" s="21"/>
      <c r="L172" s="22"/>
      <c r="M172" s="20" t="s">
        <v>210</v>
      </c>
      <c r="N172" s="21"/>
      <c r="O172" s="21"/>
      <c r="P172" s="21"/>
      <c r="Q172" s="22"/>
      <c r="R172" s="20" t="s">
        <v>165</v>
      </c>
      <c r="S172" s="21"/>
      <c r="T172" s="21"/>
      <c r="U172" s="21"/>
      <c r="V172" s="21"/>
      <c r="W172" s="21"/>
      <c r="X172" s="21"/>
      <c r="Y172" s="21"/>
      <c r="Z172" s="21"/>
      <c r="AA172" s="21"/>
      <c r="AB172" s="21"/>
      <c r="AC172" s="21"/>
      <c r="AD172" s="21"/>
      <c r="AE172" s="21"/>
      <c r="AF172" s="21"/>
      <c r="AG172" s="21"/>
      <c r="AH172" s="21"/>
      <c r="AI172" s="22"/>
    </row>
    <row r="173" spans="5:35" ht="11.25" customHeight="1" x14ac:dyDescent="0.15">
      <c r="E173" s="27"/>
      <c r="H173" s="16"/>
      <c r="I173" s="47"/>
      <c r="J173" s="47"/>
      <c r="K173" s="47"/>
      <c r="L173" s="17"/>
      <c r="M173" s="16"/>
      <c r="N173" s="47"/>
      <c r="O173" s="47"/>
      <c r="P173" s="47"/>
      <c r="Q173" s="17"/>
      <c r="R173" s="16" t="s">
        <v>279</v>
      </c>
      <c r="S173" s="47"/>
      <c r="T173" s="47"/>
      <c r="U173" s="47"/>
      <c r="V173" s="47"/>
      <c r="W173" s="47"/>
      <c r="X173" s="47"/>
      <c r="Y173" s="47"/>
      <c r="Z173" s="47"/>
      <c r="AA173" s="47"/>
      <c r="AB173" s="47"/>
      <c r="AC173" s="47"/>
      <c r="AD173" s="47"/>
      <c r="AE173" s="47"/>
      <c r="AF173" s="47"/>
      <c r="AG173" s="47"/>
      <c r="AH173" s="47"/>
      <c r="AI173" s="17"/>
    </row>
    <row r="174" spans="5:35" ht="11.25" customHeight="1" x14ac:dyDescent="0.15">
      <c r="E174" s="27"/>
      <c r="H174" s="18"/>
      <c r="I174" s="19"/>
      <c r="J174" s="19"/>
      <c r="K174" s="19"/>
      <c r="L174" s="23"/>
      <c r="M174" s="18"/>
      <c r="N174" s="19"/>
      <c r="O174" s="19"/>
      <c r="P174" s="19"/>
      <c r="Q174" s="23"/>
      <c r="R174" s="18" t="s">
        <v>280</v>
      </c>
      <c r="S174" s="19"/>
      <c r="T174" s="19"/>
      <c r="U174" s="19"/>
      <c r="V174" s="19"/>
      <c r="W174" s="19"/>
      <c r="X174" s="19"/>
      <c r="Y174" s="19"/>
      <c r="Z174" s="19"/>
      <c r="AA174" s="19"/>
      <c r="AB174" s="19"/>
      <c r="AC174" s="19"/>
      <c r="AD174" s="19"/>
      <c r="AE174" s="19"/>
      <c r="AF174" s="19"/>
      <c r="AG174" s="19"/>
      <c r="AH174" s="19"/>
      <c r="AI174" s="23"/>
    </row>
    <row r="175" spans="5:35" ht="11.25" customHeight="1" x14ac:dyDescent="0.15">
      <c r="E175" s="27"/>
      <c r="H175" s="16" t="s">
        <v>166</v>
      </c>
      <c r="L175" s="17"/>
      <c r="M175" s="16" t="s">
        <v>212</v>
      </c>
      <c r="Q175" s="17"/>
      <c r="R175" s="16" t="s">
        <v>167</v>
      </c>
      <c r="AI175" s="17"/>
    </row>
    <row r="176" spans="5:35" ht="11.25" customHeight="1" x14ac:dyDescent="0.15">
      <c r="E176" s="27"/>
      <c r="H176" s="18"/>
      <c r="I176" s="19"/>
      <c r="J176" s="19"/>
      <c r="K176" s="19"/>
      <c r="L176" s="23"/>
      <c r="M176" s="18"/>
      <c r="N176" s="19"/>
      <c r="O176" s="19"/>
      <c r="P176" s="19"/>
      <c r="Q176" s="23"/>
      <c r="R176" s="18" t="str">
        <f>"ログの種類ごとのフォーマットは"&amp;$D$190&amp;$E$190&amp;"を参照。"</f>
        <v>ログの種類ごとのフォーマットは7.13.4.ログの種類ごとのフォーマットを参照。</v>
      </c>
      <c r="S176" s="19"/>
      <c r="T176" s="19"/>
      <c r="U176" s="19"/>
      <c r="V176" s="19"/>
      <c r="W176" s="19"/>
      <c r="X176" s="19"/>
      <c r="Y176" s="19"/>
      <c r="Z176" s="19"/>
      <c r="AA176" s="19"/>
      <c r="AB176" s="19"/>
      <c r="AC176" s="19"/>
      <c r="AD176" s="19"/>
      <c r="AE176" s="19"/>
      <c r="AF176" s="19"/>
      <c r="AG176" s="19"/>
      <c r="AH176" s="19"/>
      <c r="AI176" s="23"/>
    </row>
    <row r="177" spans="4:35" ht="11.25" customHeight="1" x14ac:dyDescent="0.15">
      <c r="E177" s="27"/>
      <c r="H177" s="20" t="s">
        <v>168</v>
      </c>
      <c r="I177" s="21"/>
      <c r="J177" s="21"/>
      <c r="K177" s="21"/>
      <c r="L177" s="22"/>
      <c r="M177" s="20" t="s">
        <v>227</v>
      </c>
      <c r="N177" s="21"/>
      <c r="O177" s="21"/>
      <c r="P177" s="21"/>
      <c r="Q177" s="22"/>
      <c r="R177" s="20" t="s">
        <v>169</v>
      </c>
      <c r="S177" s="21"/>
      <c r="T177" s="21"/>
      <c r="U177" s="21"/>
      <c r="V177" s="21"/>
      <c r="W177" s="21"/>
      <c r="X177" s="21"/>
      <c r="Y177" s="21"/>
      <c r="Z177" s="21"/>
      <c r="AA177" s="21"/>
      <c r="AB177" s="21"/>
      <c r="AC177" s="21"/>
      <c r="AD177" s="21"/>
      <c r="AE177" s="21"/>
      <c r="AF177" s="21"/>
      <c r="AG177" s="21"/>
      <c r="AH177" s="21"/>
      <c r="AI177" s="22"/>
    </row>
    <row r="178" spans="4:35" ht="11.25" customHeight="1" x14ac:dyDescent="0.15">
      <c r="E178" s="27"/>
      <c r="H178" s="18"/>
      <c r="I178" s="19"/>
      <c r="J178" s="19"/>
      <c r="K178" s="19"/>
      <c r="L178" s="23"/>
      <c r="M178" s="18"/>
      <c r="N178" s="19"/>
      <c r="O178" s="19"/>
      <c r="P178" s="19"/>
      <c r="Q178" s="23"/>
      <c r="R178" s="18" t="s">
        <v>170</v>
      </c>
      <c r="S178" s="19"/>
      <c r="T178" s="19"/>
      <c r="U178" s="19"/>
      <c r="V178" s="19"/>
      <c r="W178" s="19"/>
      <c r="X178" s="19"/>
      <c r="Y178" s="19"/>
      <c r="Z178" s="19"/>
      <c r="AA178" s="19"/>
      <c r="AB178" s="19"/>
      <c r="AC178" s="19"/>
      <c r="AD178" s="19"/>
      <c r="AE178" s="19"/>
      <c r="AF178" s="19"/>
      <c r="AG178" s="19"/>
      <c r="AH178" s="19"/>
      <c r="AI178" s="23"/>
    </row>
    <row r="179" spans="4:35" ht="11.25" customHeight="1" x14ac:dyDescent="0.15">
      <c r="E179" s="27"/>
      <c r="H179" s="16" t="s">
        <v>171</v>
      </c>
      <c r="M179" s="16" t="s">
        <v>226</v>
      </c>
      <c r="Q179" s="17"/>
      <c r="R179" s="4" t="s">
        <v>172</v>
      </c>
      <c r="AI179" s="17"/>
    </row>
    <row r="180" spans="4:35" ht="11.25" customHeight="1" x14ac:dyDescent="0.15">
      <c r="E180" s="27"/>
      <c r="H180" s="18"/>
      <c r="I180" s="19"/>
      <c r="J180" s="19"/>
      <c r="K180" s="19"/>
      <c r="L180" s="19"/>
      <c r="M180" s="18"/>
      <c r="N180" s="19"/>
      <c r="O180" s="19"/>
      <c r="P180" s="19"/>
      <c r="Q180" s="23"/>
      <c r="R180" s="19" t="s">
        <v>173</v>
      </c>
      <c r="S180" s="19"/>
      <c r="T180" s="19"/>
      <c r="U180" s="19"/>
      <c r="V180" s="19"/>
      <c r="W180" s="19"/>
      <c r="X180" s="19"/>
      <c r="Y180" s="19"/>
      <c r="Z180" s="19"/>
      <c r="AA180" s="19"/>
      <c r="AB180" s="19"/>
      <c r="AC180" s="19"/>
      <c r="AD180" s="19"/>
      <c r="AE180" s="19"/>
      <c r="AF180" s="19"/>
      <c r="AG180" s="19"/>
      <c r="AH180" s="19"/>
      <c r="AI180" s="23"/>
    </row>
    <row r="181" spans="4:35" ht="11.25" customHeight="1" x14ac:dyDescent="0.15">
      <c r="E181" s="27"/>
    </row>
    <row r="182" spans="4:35" ht="11.25" customHeight="1" x14ac:dyDescent="0.15">
      <c r="E182" s="27"/>
      <c r="F182" s="15" t="s">
        <v>108</v>
      </c>
      <c r="G182" s="4" t="s">
        <v>146</v>
      </c>
    </row>
    <row r="183" spans="4:35" ht="11.25" customHeight="1" x14ac:dyDescent="0.15">
      <c r="E183" s="27"/>
      <c r="F183" s="15"/>
      <c r="G183" s="4" t="s">
        <v>174</v>
      </c>
    </row>
    <row r="184" spans="4:35" ht="11.25" customHeight="1" x14ac:dyDescent="0.15">
      <c r="E184" s="27"/>
      <c r="F184" s="15"/>
      <c r="G184" s="35" t="s">
        <v>228</v>
      </c>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2"/>
    </row>
    <row r="185" spans="4:35" ht="11.25" customHeight="1" x14ac:dyDescent="0.15">
      <c r="E185" s="27"/>
      <c r="F185" s="15"/>
      <c r="G185" s="36" t="s">
        <v>229</v>
      </c>
      <c r="H185" s="47"/>
      <c r="I185" s="47"/>
      <c r="J185" s="47"/>
      <c r="K185" s="47"/>
      <c r="L185" s="47"/>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17"/>
    </row>
    <row r="186" spans="4:35" ht="11.25" customHeight="1" x14ac:dyDescent="0.15">
      <c r="E186" s="27"/>
      <c r="F186" s="15"/>
      <c r="G186" s="36" t="s">
        <v>230</v>
      </c>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17"/>
    </row>
    <row r="187" spans="4:35" ht="11.25" customHeight="1" x14ac:dyDescent="0.15">
      <c r="E187" s="27"/>
      <c r="F187" s="15"/>
      <c r="G187" s="37"/>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23"/>
    </row>
    <row r="188" spans="4:35" ht="11.25" customHeight="1" x14ac:dyDescent="0.15">
      <c r="E188" s="27"/>
      <c r="F188" s="15"/>
      <c r="G188" s="48" t="s">
        <v>225</v>
      </c>
    </row>
    <row r="189" spans="4:35" ht="11.25" customHeight="1" x14ac:dyDescent="0.15">
      <c r="E189" s="27"/>
      <c r="F189" s="15"/>
      <c r="G189" s="38"/>
    </row>
    <row r="190" spans="4:35" ht="11.25" customHeight="1" x14ac:dyDescent="0.15">
      <c r="D190" s="15" t="str">
        <f>$C$7&amp;"4."</f>
        <v>7.13.4.</v>
      </c>
      <c r="E190" s="28" t="s">
        <v>175</v>
      </c>
    </row>
    <row r="191" spans="4:35" ht="11.25" customHeight="1" x14ac:dyDescent="0.15">
      <c r="D191" s="15"/>
      <c r="E191" s="28" t="s">
        <v>231</v>
      </c>
    </row>
    <row r="192" spans="4:35" ht="11.25" customHeight="1" x14ac:dyDescent="0.15">
      <c r="D192" s="15"/>
      <c r="E192" s="28" t="s">
        <v>176</v>
      </c>
    </row>
    <row r="193" spans="4:32" ht="11.25" customHeight="1" x14ac:dyDescent="0.15">
      <c r="D193" s="15"/>
      <c r="E193" s="28"/>
    </row>
    <row r="194" spans="4:32" ht="11.25" customHeight="1" x14ac:dyDescent="0.15">
      <c r="D194" s="15"/>
      <c r="E194" s="24" t="s">
        <v>49</v>
      </c>
      <c r="F194" s="25"/>
      <c r="G194" s="25"/>
      <c r="H194" s="25"/>
      <c r="I194" s="26"/>
      <c r="J194" s="25" t="s">
        <v>177</v>
      </c>
      <c r="K194" s="25"/>
      <c r="L194" s="25"/>
      <c r="M194" s="25"/>
      <c r="N194" s="25"/>
      <c r="O194" s="25"/>
      <c r="P194" s="25"/>
      <c r="Q194" s="25"/>
      <c r="R194" s="25"/>
      <c r="S194" s="25"/>
      <c r="T194" s="25"/>
      <c r="U194" s="25"/>
      <c r="V194" s="25"/>
      <c r="W194" s="25"/>
      <c r="X194" s="25"/>
      <c r="Y194" s="25"/>
      <c r="Z194" s="25"/>
      <c r="AA194" s="25"/>
      <c r="AB194" s="25"/>
      <c r="AC194" s="25"/>
      <c r="AD194" s="25"/>
      <c r="AE194" s="25"/>
      <c r="AF194" s="26"/>
    </row>
    <row r="195" spans="4:32" ht="11.25" customHeight="1" x14ac:dyDescent="0.15">
      <c r="D195" s="15"/>
      <c r="E195" s="46" t="s">
        <v>54</v>
      </c>
      <c r="F195" s="21"/>
      <c r="G195" s="21"/>
      <c r="H195" s="21"/>
      <c r="I195" s="22"/>
      <c r="J195" s="54" t="s">
        <v>232</v>
      </c>
      <c r="K195" s="55"/>
      <c r="L195" s="55"/>
      <c r="M195" s="55"/>
      <c r="N195" s="55"/>
      <c r="O195" s="55"/>
      <c r="P195" s="55"/>
      <c r="Q195" s="55"/>
      <c r="R195" s="55"/>
      <c r="S195" s="55"/>
      <c r="T195" s="55"/>
      <c r="U195" s="55"/>
      <c r="V195" s="55"/>
      <c r="W195" s="55"/>
      <c r="X195" s="55"/>
      <c r="Y195" s="55"/>
      <c r="Z195" s="55"/>
      <c r="AA195" s="55"/>
      <c r="AB195" s="55"/>
      <c r="AC195" s="55"/>
      <c r="AD195" s="55"/>
      <c r="AE195" s="55"/>
      <c r="AF195" s="56"/>
    </row>
    <row r="196" spans="4:32" ht="11.25" x14ac:dyDescent="0.15">
      <c r="D196" s="15"/>
      <c r="E196" s="45"/>
      <c r="F196" s="19"/>
      <c r="G196" s="19"/>
      <c r="H196" s="19"/>
      <c r="I196" s="23"/>
      <c r="J196" s="57"/>
      <c r="K196" s="58"/>
      <c r="L196" s="58"/>
      <c r="M196" s="58"/>
      <c r="N196" s="58"/>
      <c r="O196" s="58"/>
      <c r="P196" s="58"/>
      <c r="Q196" s="58"/>
      <c r="R196" s="58"/>
      <c r="S196" s="58"/>
      <c r="T196" s="58"/>
      <c r="U196" s="58"/>
      <c r="V196" s="58"/>
      <c r="W196" s="58"/>
      <c r="X196" s="58"/>
      <c r="Y196" s="58"/>
      <c r="Z196" s="58"/>
      <c r="AA196" s="58"/>
      <c r="AB196" s="58"/>
      <c r="AC196" s="58"/>
      <c r="AD196" s="58"/>
      <c r="AE196" s="58"/>
      <c r="AF196" s="59"/>
    </row>
    <row r="197" spans="4:32" ht="11.25" customHeight="1" x14ac:dyDescent="0.15">
      <c r="D197" s="15"/>
      <c r="E197" s="46" t="s">
        <v>57</v>
      </c>
      <c r="F197" s="21"/>
      <c r="G197" s="21"/>
      <c r="H197" s="21"/>
      <c r="I197" s="22"/>
      <c r="J197" s="54" t="s">
        <v>233</v>
      </c>
      <c r="K197" s="55"/>
      <c r="L197" s="55"/>
      <c r="M197" s="55"/>
      <c r="N197" s="55"/>
      <c r="O197" s="55"/>
      <c r="P197" s="55"/>
      <c r="Q197" s="55"/>
      <c r="R197" s="55"/>
      <c r="S197" s="55"/>
      <c r="T197" s="55"/>
      <c r="U197" s="55"/>
      <c r="V197" s="55"/>
      <c r="W197" s="55"/>
      <c r="X197" s="55"/>
      <c r="Y197" s="55"/>
      <c r="Z197" s="55"/>
      <c r="AA197" s="55"/>
      <c r="AB197" s="55"/>
      <c r="AC197" s="55"/>
      <c r="AD197" s="55"/>
      <c r="AE197" s="55"/>
      <c r="AF197" s="56"/>
    </row>
    <row r="198" spans="4:32" ht="11.25" x14ac:dyDescent="0.15">
      <c r="D198" s="15"/>
      <c r="E198" s="45"/>
      <c r="F198" s="19"/>
      <c r="G198" s="19"/>
      <c r="H198" s="19"/>
      <c r="I198" s="23"/>
      <c r="J198" s="57"/>
      <c r="K198" s="58"/>
      <c r="L198" s="58"/>
      <c r="M198" s="58"/>
      <c r="N198" s="58"/>
      <c r="O198" s="58"/>
      <c r="P198" s="58"/>
      <c r="Q198" s="58"/>
      <c r="R198" s="58"/>
      <c r="S198" s="58"/>
      <c r="T198" s="58"/>
      <c r="U198" s="58"/>
      <c r="V198" s="58"/>
      <c r="W198" s="58"/>
      <c r="X198" s="58"/>
      <c r="Y198" s="58"/>
      <c r="Z198" s="58"/>
      <c r="AA198" s="58"/>
      <c r="AB198" s="58"/>
      <c r="AC198" s="58"/>
      <c r="AD198" s="58"/>
      <c r="AE198" s="58"/>
      <c r="AF198" s="59"/>
    </row>
    <row r="199" spans="4:32" ht="11.25" customHeight="1" x14ac:dyDescent="0.15">
      <c r="D199" s="15"/>
      <c r="E199" s="46" t="s">
        <v>61</v>
      </c>
      <c r="F199" s="21"/>
      <c r="G199" s="21"/>
      <c r="H199" s="21"/>
      <c r="I199" s="22"/>
      <c r="J199" s="54" t="s">
        <v>234</v>
      </c>
      <c r="K199" s="55"/>
      <c r="L199" s="55"/>
      <c r="M199" s="55"/>
      <c r="N199" s="55"/>
      <c r="O199" s="55"/>
      <c r="P199" s="55"/>
      <c r="Q199" s="55"/>
      <c r="R199" s="55"/>
      <c r="S199" s="55"/>
      <c r="T199" s="55"/>
      <c r="U199" s="55"/>
      <c r="V199" s="55"/>
      <c r="W199" s="55"/>
      <c r="X199" s="55"/>
      <c r="Y199" s="55"/>
      <c r="Z199" s="55"/>
      <c r="AA199" s="55"/>
      <c r="AB199" s="55"/>
      <c r="AC199" s="55"/>
      <c r="AD199" s="55"/>
      <c r="AE199" s="55"/>
      <c r="AF199" s="56"/>
    </row>
    <row r="200" spans="4:32" ht="11.25" x14ac:dyDescent="0.15">
      <c r="D200" s="15"/>
      <c r="E200" s="45"/>
      <c r="F200" s="19"/>
      <c r="G200" s="19"/>
      <c r="H200" s="19"/>
      <c r="I200" s="23"/>
      <c r="J200" s="57"/>
      <c r="K200" s="58"/>
      <c r="L200" s="58"/>
      <c r="M200" s="58"/>
      <c r="N200" s="58"/>
      <c r="O200" s="58"/>
      <c r="P200" s="58"/>
      <c r="Q200" s="58"/>
      <c r="R200" s="58"/>
      <c r="S200" s="58"/>
      <c r="T200" s="58"/>
      <c r="U200" s="58"/>
      <c r="V200" s="58"/>
      <c r="W200" s="58"/>
      <c r="X200" s="58"/>
      <c r="Y200" s="58"/>
      <c r="Z200" s="58"/>
      <c r="AA200" s="58"/>
      <c r="AB200" s="58"/>
      <c r="AC200" s="58"/>
      <c r="AD200" s="58"/>
      <c r="AE200" s="58"/>
      <c r="AF200" s="59"/>
    </row>
    <row r="201" spans="4:32" ht="11.25" customHeight="1" x14ac:dyDescent="0.15">
      <c r="D201" s="15"/>
      <c r="E201" s="46" t="s">
        <v>66</v>
      </c>
      <c r="F201" s="21"/>
      <c r="G201" s="21"/>
      <c r="H201" s="21"/>
      <c r="I201" s="22"/>
      <c r="J201" s="54" t="s">
        <v>235</v>
      </c>
      <c r="K201" s="55"/>
      <c r="L201" s="55"/>
      <c r="M201" s="55"/>
      <c r="N201" s="55"/>
      <c r="O201" s="55"/>
      <c r="P201" s="55"/>
      <c r="Q201" s="55"/>
      <c r="R201" s="55"/>
      <c r="S201" s="55"/>
      <c r="T201" s="55"/>
      <c r="U201" s="55"/>
      <c r="V201" s="55"/>
      <c r="W201" s="55"/>
      <c r="X201" s="55"/>
      <c r="Y201" s="55"/>
      <c r="Z201" s="55"/>
      <c r="AA201" s="55"/>
      <c r="AB201" s="55"/>
      <c r="AC201" s="55"/>
      <c r="AD201" s="55"/>
      <c r="AE201" s="55"/>
      <c r="AF201" s="56"/>
    </row>
    <row r="202" spans="4:32" ht="11.25" x14ac:dyDescent="0.15">
      <c r="D202" s="15"/>
      <c r="E202" s="45"/>
      <c r="F202" s="19"/>
      <c r="G202" s="19"/>
      <c r="H202" s="19"/>
      <c r="I202" s="23"/>
      <c r="J202" s="57"/>
      <c r="K202" s="58"/>
      <c r="L202" s="58"/>
      <c r="M202" s="58"/>
      <c r="N202" s="58"/>
      <c r="O202" s="58"/>
      <c r="P202" s="58"/>
      <c r="Q202" s="58"/>
      <c r="R202" s="58"/>
      <c r="S202" s="58"/>
      <c r="T202" s="58"/>
      <c r="U202" s="58"/>
      <c r="V202" s="58"/>
      <c r="W202" s="58"/>
      <c r="X202" s="58"/>
      <c r="Y202" s="58"/>
      <c r="Z202" s="58"/>
      <c r="AA202" s="58"/>
      <c r="AB202" s="58"/>
      <c r="AC202" s="58"/>
      <c r="AD202" s="58"/>
      <c r="AE202" s="58"/>
      <c r="AF202" s="59"/>
    </row>
    <row r="203" spans="4:32" ht="11.25" customHeight="1" x14ac:dyDescent="0.15"/>
    <row r="204" spans="4:32" ht="11.25" customHeight="1" x14ac:dyDescent="0.15">
      <c r="E204" s="4" t="s">
        <v>178</v>
      </c>
    </row>
    <row r="205" spans="4:32" ht="11.25" customHeight="1" x14ac:dyDescent="0.15"/>
    <row r="206" spans="4:32" ht="11.25" customHeight="1" x14ac:dyDescent="0.15">
      <c r="E206" s="28" t="s">
        <v>179</v>
      </c>
    </row>
    <row r="207" spans="4:32" ht="11.25" customHeight="1" x14ac:dyDescent="0.15"/>
    <row r="208" spans="4:32" ht="11.25" customHeight="1" x14ac:dyDescent="0.15">
      <c r="E208" s="15" t="str">
        <f>$D$190&amp;"1."</f>
        <v>7.13.4.1.</v>
      </c>
      <c r="F208" s="4" t="s">
        <v>180</v>
      </c>
    </row>
    <row r="209" spans="5:35" ht="11.25" customHeight="1" x14ac:dyDescent="0.15">
      <c r="E209" s="15"/>
      <c r="F209" s="27" t="str">
        <f>$E$208&amp;"1."</f>
        <v>7.13.4.1.1.</v>
      </c>
      <c r="G209" s="4" t="s">
        <v>273</v>
      </c>
    </row>
    <row r="210" spans="5:35" ht="11.25" customHeight="1" x14ac:dyDescent="0.15">
      <c r="G210" s="52" t="s">
        <v>236</v>
      </c>
      <c r="H210" s="25"/>
      <c r="I210" s="25"/>
      <c r="J210" s="26"/>
      <c r="K210" s="24" t="s">
        <v>215</v>
      </c>
      <c r="L210" s="25"/>
      <c r="M210" s="25"/>
      <c r="N210" s="26"/>
      <c r="O210" s="24" t="s">
        <v>214</v>
      </c>
      <c r="P210" s="25"/>
      <c r="Q210" s="25"/>
      <c r="R210" s="25"/>
      <c r="S210" s="25"/>
      <c r="T210" s="25"/>
      <c r="U210" s="25"/>
      <c r="V210" s="25"/>
      <c r="W210" s="25"/>
      <c r="X210" s="25"/>
      <c r="Y210" s="25"/>
      <c r="Z210" s="25"/>
      <c r="AA210" s="25"/>
      <c r="AB210" s="25"/>
      <c r="AC210" s="25"/>
      <c r="AD210" s="25"/>
      <c r="AE210" s="25"/>
      <c r="AF210" s="25"/>
      <c r="AG210" s="25"/>
      <c r="AH210" s="25"/>
      <c r="AI210" s="26"/>
    </row>
    <row r="211" spans="5:35" ht="11.25" customHeight="1" x14ac:dyDescent="0.15">
      <c r="G211" s="49" t="s">
        <v>237</v>
      </c>
      <c r="H211" s="30"/>
      <c r="I211" s="30"/>
      <c r="J211" s="31"/>
      <c r="K211" s="29" t="s">
        <v>239</v>
      </c>
      <c r="L211" s="30"/>
      <c r="M211" s="30"/>
      <c r="N211" s="31"/>
      <c r="O211" s="29" t="s">
        <v>242</v>
      </c>
      <c r="P211" s="30"/>
      <c r="Q211" s="30"/>
      <c r="R211" s="30"/>
      <c r="S211" s="30"/>
      <c r="T211" s="30"/>
      <c r="U211" s="30"/>
      <c r="V211" s="30"/>
      <c r="W211" s="30"/>
      <c r="X211" s="30"/>
      <c r="Y211" s="30"/>
      <c r="Z211" s="30"/>
      <c r="AA211" s="30"/>
      <c r="AB211" s="30"/>
      <c r="AC211" s="30"/>
      <c r="AD211" s="30"/>
      <c r="AE211" s="30"/>
      <c r="AF211" s="30"/>
      <c r="AG211" s="30"/>
      <c r="AH211" s="30"/>
      <c r="AI211" s="31"/>
    </row>
    <row r="212" spans="5:35" ht="11.25" customHeight="1" x14ac:dyDescent="0.15">
      <c r="G212" s="50" t="s">
        <v>238</v>
      </c>
      <c r="H212" s="21"/>
      <c r="I212" s="21"/>
      <c r="J212" s="22"/>
      <c r="K212" s="20" t="s">
        <v>213</v>
      </c>
      <c r="L212" s="21"/>
      <c r="M212" s="21"/>
      <c r="N212" s="22"/>
      <c r="O212" s="20" t="s">
        <v>243</v>
      </c>
      <c r="P212" s="21"/>
      <c r="Q212" s="21"/>
      <c r="R212" s="21"/>
      <c r="S212" s="21"/>
      <c r="T212" s="21"/>
      <c r="U212" s="21"/>
      <c r="V212" s="21"/>
      <c r="W212" s="21"/>
      <c r="X212" s="21"/>
      <c r="Y212" s="21"/>
      <c r="Z212" s="21"/>
      <c r="AA212" s="21"/>
      <c r="AB212" s="21"/>
      <c r="AC212" s="21"/>
      <c r="AD212" s="21"/>
      <c r="AE212" s="21"/>
      <c r="AF212" s="21"/>
      <c r="AG212" s="21"/>
      <c r="AH212" s="21"/>
      <c r="AI212" s="22"/>
    </row>
    <row r="213" spans="5:35" ht="11.25" customHeight="1" x14ac:dyDescent="0.15">
      <c r="G213" s="50" t="s">
        <v>240</v>
      </c>
      <c r="H213" s="21"/>
      <c r="I213" s="21"/>
      <c r="J213" s="22"/>
      <c r="K213" s="20" t="s">
        <v>241</v>
      </c>
      <c r="L213" s="21"/>
      <c r="M213" s="21"/>
      <c r="N213" s="22"/>
      <c r="O213" s="20" t="s">
        <v>244</v>
      </c>
      <c r="P213" s="21"/>
      <c r="Q213" s="21"/>
      <c r="R213" s="21"/>
      <c r="S213" s="21"/>
      <c r="T213" s="21"/>
      <c r="U213" s="21"/>
      <c r="V213" s="21"/>
      <c r="W213" s="21"/>
      <c r="X213" s="21"/>
      <c r="Y213" s="21"/>
      <c r="Z213" s="21"/>
      <c r="AA213" s="21"/>
      <c r="AB213" s="21"/>
      <c r="AC213" s="21"/>
      <c r="AD213" s="21"/>
      <c r="AE213" s="21"/>
      <c r="AF213" s="21"/>
      <c r="AG213" s="21"/>
      <c r="AH213" s="21"/>
      <c r="AI213" s="22"/>
    </row>
    <row r="214" spans="5:35" ht="11.25" customHeight="1" x14ac:dyDescent="0.15">
      <c r="G214" s="53"/>
      <c r="H214" s="47"/>
      <c r="I214" s="47"/>
      <c r="J214" s="17"/>
      <c r="K214" s="16"/>
      <c r="L214" s="47"/>
      <c r="M214" s="47"/>
      <c r="N214" s="17"/>
      <c r="O214" s="16" t="s">
        <v>281</v>
      </c>
      <c r="P214" s="47"/>
      <c r="Q214" s="47"/>
      <c r="R214" s="47"/>
      <c r="S214" s="47"/>
      <c r="T214" s="47"/>
      <c r="U214" s="47"/>
      <c r="V214" s="47"/>
      <c r="W214" s="47"/>
      <c r="X214" s="47"/>
      <c r="Y214" s="47"/>
      <c r="Z214" s="47"/>
      <c r="AA214" s="47"/>
      <c r="AB214" s="47"/>
      <c r="AC214" s="47"/>
      <c r="AD214" s="47"/>
      <c r="AE214" s="47"/>
      <c r="AF214" s="47"/>
      <c r="AG214" s="47"/>
      <c r="AH214" s="47"/>
      <c r="AI214" s="17"/>
    </row>
    <row r="215" spans="5:35" ht="11.25" customHeight="1" x14ac:dyDescent="0.15">
      <c r="G215" s="51"/>
      <c r="H215" s="19"/>
      <c r="I215" s="19"/>
      <c r="J215" s="23"/>
      <c r="K215" s="18"/>
      <c r="L215" s="19"/>
      <c r="M215" s="19"/>
      <c r="N215" s="23"/>
      <c r="O215" s="18" t="s">
        <v>282</v>
      </c>
      <c r="P215" s="19"/>
      <c r="Q215" s="19"/>
      <c r="R215" s="19"/>
      <c r="S215" s="19"/>
      <c r="T215" s="19"/>
      <c r="U215" s="19"/>
      <c r="V215" s="19"/>
      <c r="W215" s="19"/>
      <c r="X215" s="19"/>
      <c r="Y215" s="19"/>
      <c r="Z215" s="19"/>
      <c r="AA215" s="19"/>
      <c r="AB215" s="19"/>
      <c r="AC215" s="19"/>
      <c r="AD215" s="19"/>
      <c r="AE215" s="19"/>
      <c r="AF215" s="19"/>
      <c r="AG215" s="19"/>
      <c r="AH215" s="19"/>
      <c r="AI215" s="23"/>
    </row>
    <row r="216" spans="5:35" ht="11.25" customHeight="1" x14ac:dyDescent="0.15">
      <c r="G216" s="33"/>
    </row>
    <row r="217" spans="5:35" ht="11.25" customHeight="1" x14ac:dyDescent="0.15">
      <c r="E217" s="15" t="str">
        <f>$D$190&amp;"2."</f>
        <v>7.13.4.2.</v>
      </c>
      <c r="F217" s="4" t="s">
        <v>181</v>
      </c>
    </row>
    <row r="218" spans="5:35" ht="11.25" customHeight="1" x14ac:dyDescent="0.15">
      <c r="E218" s="15"/>
      <c r="F218" s="27" t="str">
        <f>$E$217&amp;"1."</f>
        <v>7.13.4.2.1.</v>
      </c>
      <c r="G218" s="4" t="s">
        <v>272</v>
      </c>
    </row>
    <row r="219" spans="5:35" ht="11.25" customHeight="1" x14ac:dyDescent="0.15">
      <c r="G219" s="52" t="s">
        <v>236</v>
      </c>
      <c r="H219" s="25"/>
      <c r="I219" s="25"/>
      <c r="J219" s="25"/>
      <c r="K219" s="25"/>
      <c r="L219" s="26"/>
      <c r="M219" s="43" t="s">
        <v>215</v>
      </c>
      <c r="N219" s="43"/>
      <c r="O219" s="43"/>
      <c r="P219" s="43"/>
      <c r="Q219" s="24" t="s">
        <v>214</v>
      </c>
      <c r="R219" s="25"/>
      <c r="S219" s="25"/>
      <c r="T219" s="25"/>
      <c r="U219" s="25"/>
      <c r="V219" s="25"/>
      <c r="W219" s="25"/>
      <c r="X219" s="25"/>
      <c r="Y219" s="25"/>
      <c r="Z219" s="25"/>
      <c r="AA219" s="25"/>
      <c r="AB219" s="25"/>
      <c r="AC219" s="25"/>
      <c r="AD219" s="25"/>
      <c r="AE219" s="25"/>
      <c r="AF219" s="25"/>
      <c r="AG219" s="25"/>
      <c r="AH219" s="25"/>
      <c r="AI219" s="26"/>
    </row>
    <row r="220" spans="5:35" ht="11.25" customHeight="1" x14ac:dyDescent="0.15">
      <c r="G220" s="29" t="s">
        <v>245</v>
      </c>
      <c r="H220" s="30"/>
      <c r="I220" s="30"/>
      <c r="J220" s="30"/>
      <c r="K220" s="30"/>
      <c r="L220" s="31"/>
      <c r="M220" s="29" t="s">
        <v>246</v>
      </c>
      <c r="N220" s="30"/>
      <c r="O220" s="30"/>
      <c r="P220" s="31"/>
      <c r="Q220" s="29" t="s">
        <v>263</v>
      </c>
      <c r="R220" s="30"/>
      <c r="S220" s="30"/>
      <c r="T220" s="30"/>
      <c r="U220" s="30"/>
      <c r="V220" s="30"/>
      <c r="W220" s="30"/>
      <c r="X220" s="30"/>
      <c r="Y220" s="30"/>
      <c r="Z220" s="30"/>
      <c r="AA220" s="30"/>
      <c r="AB220" s="30"/>
      <c r="AC220" s="30"/>
      <c r="AD220" s="30"/>
      <c r="AE220" s="30"/>
      <c r="AF220" s="30"/>
      <c r="AG220" s="30"/>
      <c r="AH220" s="30"/>
      <c r="AI220" s="31"/>
    </row>
    <row r="221" spans="5:35" ht="11.25" customHeight="1" x14ac:dyDescent="0.15">
      <c r="G221" s="20" t="s">
        <v>247</v>
      </c>
      <c r="H221" s="21"/>
      <c r="I221" s="21"/>
      <c r="J221" s="21"/>
      <c r="K221" s="21"/>
      <c r="L221" s="22"/>
      <c r="M221" s="20" t="s">
        <v>209</v>
      </c>
      <c r="N221" s="21"/>
      <c r="O221" s="21"/>
      <c r="P221" s="22"/>
      <c r="Q221" s="20" t="s">
        <v>264</v>
      </c>
      <c r="R221" s="21"/>
      <c r="S221" s="21"/>
      <c r="T221" s="21"/>
      <c r="U221" s="21"/>
      <c r="V221" s="21"/>
      <c r="W221" s="21"/>
      <c r="X221" s="21"/>
      <c r="Y221" s="21"/>
      <c r="Z221" s="21"/>
      <c r="AA221" s="21"/>
      <c r="AB221" s="21"/>
      <c r="AC221" s="21"/>
      <c r="AD221" s="21"/>
      <c r="AE221" s="21"/>
      <c r="AF221" s="21"/>
      <c r="AG221" s="21"/>
      <c r="AH221" s="21"/>
      <c r="AI221" s="22"/>
    </row>
    <row r="222" spans="5:35" ht="11.25" customHeight="1" x14ac:dyDescent="0.15">
      <c r="G222" s="20" t="s">
        <v>248</v>
      </c>
      <c r="H222" s="21"/>
      <c r="I222" s="21"/>
      <c r="J222" s="21"/>
      <c r="K222" s="21"/>
      <c r="L222" s="22"/>
      <c r="M222" s="20" t="s">
        <v>211</v>
      </c>
      <c r="N222" s="21"/>
      <c r="O222" s="21"/>
      <c r="P222" s="22"/>
      <c r="Q222" s="20" t="s">
        <v>142</v>
      </c>
      <c r="R222" s="21"/>
      <c r="S222" s="21"/>
      <c r="T222" s="21"/>
      <c r="U222" s="21"/>
      <c r="V222" s="21"/>
      <c r="W222" s="21"/>
      <c r="X222" s="21"/>
      <c r="Y222" s="21"/>
      <c r="Z222" s="21"/>
      <c r="AA222" s="21"/>
      <c r="AB222" s="21"/>
      <c r="AC222" s="21"/>
      <c r="AD222" s="21"/>
      <c r="AE222" s="21"/>
      <c r="AF222" s="21"/>
      <c r="AG222" s="21"/>
      <c r="AH222" s="21"/>
      <c r="AI222" s="22"/>
    </row>
    <row r="223" spans="5:35" ht="11.25" customHeight="1" x14ac:dyDescent="0.15">
      <c r="G223" s="16"/>
      <c r="H223" s="47"/>
      <c r="I223" s="47"/>
      <c r="J223" s="47"/>
      <c r="K223" s="47"/>
      <c r="L223" s="17"/>
      <c r="M223" s="16"/>
      <c r="N223" s="47"/>
      <c r="O223" s="47"/>
      <c r="P223" s="17"/>
      <c r="Q223" s="16" t="s">
        <v>279</v>
      </c>
      <c r="R223" s="47"/>
      <c r="S223" s="47"/>
      <c r="T223" s="47"/>
      <c r="U223" s="47"/>
      <c r="V223" s="47"/>
      <c r="W223" s="47"/>
      <c r="X223" s="47"/>
      <c r="Y223" s="47"/>
      <c r="Z223" s="47"/>
      <c r="AA223" s="47"/>
      <c r="AB223" s="47"/>
      <c r="AC223" s="47"/>
      <c r="AD223" s="47"/>
      <c r="AE223" s="47"/>
      <c r="AF223" s="47"/>
      <c r="AG223" s="47"/>
      <c r="AH223" s="47"/>
      <c r="AI223" s="17"/>
    </row>
    <row r="224" spans="5:35" ht="11.25" customHeight="1" x14ac:dyDescent="0.15">
      <c r="G224" s="18"/>
      <c r="H224" s="19"/>
      <c r="I224" s="19"/>
      <c r="J224" s="19"/>
      <c r="K224" s="19"/>
      <c r="L224" s="23"/>
      <c r="M224" s="18"/>
      <c r="N224" s="19"/>
      <c r="O224" s="19"/>
      <c r="P224" s="23"/>
      <c r="Q224" s="18" t="s">
        <v>280</v>
      </c>
      <c r="R224" s="19"/>
      <c r="S224" s="19"/>
      <c r="T224" s="19"/>
      <c r="U224" s="19"/>
      <c r="V224" s="19"/>
      <c r="W224" s="19"/>
      <c r="X224" s="19"/>
      <c r="Y224" s="19"/>
      <c r="Z224" s="19"/>
      <c r="AA224" s="19"/>
      <c r="AB224" s="19"/>
      <c r="AC224" s="19"/>
      <c r="AD224" s="19"/>
      <c r="AE224" s="19"/>
      <c r="AF224" s="19"/>
      <c r="AG224" s="19"/>
      <c r="AH224" s="19"/>
      <c r="AI224" s="23"/>
    </row>
    <row r="225" spans="4:35" ht="11.25" customHeight="1" x14ac:dyDescent="0.15">
      <c r="G225" s="18" t="s">
        <v>249</v>
      </c>
      <c r="H225" s="19"/>
      <c r="I225" s="19"/>
      <c r="J225" s="19"/>
      <c r="K225" s="19"/>
      <c r="L225" s="23"/>
      <c r="M225" s="18" t="s">
        <v>250</v>
      </c>
      <c r="N225" s="19"/>
      <c r="O225" s="19"/>
      <c r="P225" s="23"/>
      <c r="Q225" s="18" t="s">
        <v>265</v>
      </c>
      <c r="R225" s="19"/>
      <c r="S225" s="19"/>
      <c r="T225" s="19"/>
      <c r="U225" s="19"/>
      <c r="V225" s="19"/>
      <c r="W225" s="19"/>
      <c r="X225" s="19"/>
      <c r="Y225" s="19"/>
      <c r="Z225" s="19"/>
      <c r="AA225" s="19"/>
      <c r="AB225" s="19"/>
      <c r="AC225" s="19"/>
      <c r="AD225" s="19"/>
      <c r="AE225" s="19"/>
      <c r="AF225" s="19"/>
      <c r="AG225" s="19"/>
      <c r="AH225" s="19"/>
      <c r="AI225" s="23"/>
    </row>
    <row r="226" spans="4:35" ht="11.25" customHeight="1" x14ac:dyDescent="0.15">
      <c r="G226" s="29" t="s">
        <v>251</v>
      </c>
      <c r="H226" s="30"/>
      <c r="I226" s="30"/>
      <c r="J226" s="30"/>
      <c r="K226" s="30"/>
      <c r="L226" s="31"/>
      <c r="M226" s="29" t="s">
        <v>252</v>
      </c>
      <c r="N226" s="30"/>
      <c r="O226" s="30"/>
      <c r="P226" s="31"/>
      <c r="Q226" s="29" t="s">
        <v>266</v>
      </c>
      <c r="R226" s="30"/>
      <c r="S226" s="30"/>
      <c r="T226" s="30"/>
      <c r="U226" s="30"/>
      <c r="V226" s="30"/>
      <c r="W226" s="30"/>
      <c r="X226" s="30"/>
      <c r="Y226" s="30"/>
      <c r="Z226" s="30"/>
      <c r="AA226" s="30"/>
      <c r="AB226" s="30"/>
      <c r="AC226" s="30"/>
      <c r="AD226" s="30"/>
      <c r="AE226" s="30"/>
      <c r="AF226" s="30"/>
      <c r="AG226" s="30"/>
      <c r="AH226" s="30"/>
      <c r="AI226" s="31"/>
    </row>
    <row r="227" spans="4:35" ht="11.25" customHeight="1" x14ac:dyDescent="0.15">
      <c r="G227" s="29" t="s">
        <v>253</v>
      </c>
      <c r="H227" s="30"/>
      <c r="I227" s="30"/>
      <c r="J227" s="30"/>
      <c r="K227" s="30"/>
      <c r="L227" s="31"/>
      <c r="M227" s="29" t="s">
        <v>254</v>
      </c>
      <c r="N227" s="30"/>
      <c r="O227" s="30"/>
      <c r="P227" s="31"/>
      <c r="Q227" s="29" t="s">
        <v>267</v>
      </c>
      <c r="R227" s="30"/>
      <c r="S227" s="30"/>
      <c r="T227" s="30"/>
      <c r="U227" s="30"/>
      <c r="V227" s="30"/>
      <c r="W227" s="30"/>
      <c r="X227" s="30"/>
      <c r="Y227" s="30"/>
      <c r="Z227" s="30"/>
      <c r="AA227" s="30"/>
      <c r="AB227" s="30"/>
      <c r="AC227" s="30"/>
      <c r="AD227" s="30"/>
      <c r="AE227" s="30"/>
      <c r="AF227" s="30"/>
      <c r="AG227" s="30"/>
      <c r="AH227" s="30"/>
      <c r="AI227" s="31"/>
    </row>
    <row r="228" spans="4:35" ht="11.25" customHeight="1" x14ac:dyDescent="0.15">
      <c r="G228" s="29" t="s">
        <v>255</v>
      </c>
      <c r="H228" s="30"/>
      <c r="I228" s="30"/>
      <c r="J228" s="30"/>
      <c r="K228" s="30"/>
      <c r="L228" s="31"/>
      <c r="M228" s="29" t="s">
        <v>256</v>
      </c>
      <c r="N228" s="30"/>
      <c r="O228" s="30"/>
      <c r="P228" s="31"/>
      <c r="Q228" s="29" t="s">
        <v>268</v>
      </c>
      <c r="R228" s="30"/>
      <c r="S228" s="30"/>
      <c r="T228" s="30"/>
      <c r="U228" s="30"/>
      <c r="V228" s="30"/>
      <c r="W228" s="30"/>
      <c r="X228" s="30"/>
      <c r="Y228" s="30"/>
      <c r="Z228" s="30"/>
      <c r="AA228" s="30"/>
      <c r="AB228" s="30"/>
      <c r="AC228" s="30"/>
      <c r="AD228" s="30"/>
      <c r="AE228" s="30"/>
      <c r="AF228" s="30"/>
      <c r="AG228" s="30"/>
      <c r="AH228" s="30"/>
      <c r="AI228" s="31"/>
    </row>
    <row r="229" spans="4:35" ht="11.25" customHeight="1" x14ac:dyDescent="0.15">
      <c r="G229" s="29" t="s">
        <v>257</v>
      </c>
      <c r="H229" s="30"/>
      <c r="I229" s="30"/>
      <c r="J229" s="30"/>
      <c r="K229" s="30"/>
      <c r="L229" s="31"/>
      <c r="M229" s="29" t="s">
        <v>258</v>
      </c>
      <c r="N229" s="30"/>
      <c r="O229" s="30"/>
      <c r="P229" s="31"/>
      <c r="Q229" s="29" t="s">
        <v>269</v>
      </c>
      <c r="R229" s="30"/>
      <c r="S229" s="30"/>
      <c r="T229" s="30"/>
      <c r="U229" s="30"/>
      <c r="V229" s="30"/>
      <c r="W229" s="30"/>
      <c r="X229" s="30"/>
      <c r="Y229" s="30"/>
      <c r="Z229" s="30"/>
      <c r="AA229" s="30"/>
      <c r="AB229" s="30"/>
      <c r="AC229" s="30"/>
      <c r="AD229" s="30"/>
      <c r="AE229" s="30"/>
      <c r="AF229" s="30"/>
      <c r="AG229" s="30"/>
      <c r="AH229" s="30"/>
      <c r="AI229" s="31"/>
    </row>
    <row r="230" spans="4:35" ht="11.25" customHeight="1" x14ac:dyDescent="0.15">
      <c r="G230" s="29" t="s">
        <v>259</v>
      </c>
      <c r="H230" s="30"/>
      <c r="I230" s="30"/>
      <c r="J230" s="30"/>
      <c r="K230" s="30"/>
      <c r="L230" s="31"/>
      <c r="M230" s="29" t="s">
        <v>260</v>
      </c>
      <c r="N230" s="30"/>
      <c r="O230" s="30"/>
      <c r="P230" s="31"/>
      <c r="Q230" s="29" t="s">
        <v>270</v>
      </c>
      <c r="R230" s="30"/>
      <c r="S230" s="30"/>
      <c r="T230" s="30"/>
      <c r="U230" s="30"/>
      <c r="V230" s="30"/>
      <c r="W230" s="30"/>
      <c r="X230" s="30"/>
      <c r="Y230" s="30"/>
      <c r="Z230" s="30"/>
      <c r="AA230" s="30"/>
      <c r="AB230" s="30"/>
      <c r="AC230" s="30"/>
      <c r="AD230" s="30"/>
      <c r="AE230" s="30"/>
      <c r="AF230" s="30"/>
      <c r="AG230" s="30"/>
      <c r="AH230" s="30"/>
      <c r="AI230" s="31"/>
    </row>
    <row r="231" spans="4:35" ht="11.25" customHeight="1" x14ac:dyDescent="0.15">
      <c r="G231" s="29" t="s">
        <v>261</v>
      </c>
      <c r="H231" s="30"/>
      <c r="I231" s="30"/>
      <c r="J231" s="30"/>
      <c r="K231" s="30"/>
      <c r="L231" s="31"/>
      <c r="M231" s="29" t="s">
        <v>262</v>
      </c>
      <c r="N231" s="30"/>
      <c r="O231" s="30"/>
      <c r="P231" s="31"/>
      <c r="Q231" s="29" t="s">
        <v>271</v>
      </c>
      <c r="R231" s="30"/>
      <c r="S231" s="30"/>
      <c r="T231" s="30"/>
      <c r="U231" s="30"/>
      <c r="V231" s="30"/>
      <c r="W231" s="30"/>
      <c r="X231" s="30"/>
      <c r="Y231" s="30"/>
      <c r="Z231" s="30"/>
      <c r="AA231" s="30"/>
      <c r="AB231" s="30"/>
      <c r="AC231" s="30"/>
      <c r="AD231" s="30"/>
      <c r="AE231" s="30"/>
      <c r="AF231" s="30"/>
      <c r="AG231" s="30"/>
      <c r="AH231" s="30"/>
      <c r="AI231" s="31"/>
    </row>
    <row r="232" spans="4:35" ht="11.25" customHeight="1" x14ac:dyDescent="0.15">
      <c r="E232" s="27"/>
      <c r="F232" s="15"/>
      <c r="G232" s="38"/>
      <c r="H232" s="38"/>
    </row>
    <row r="233" spans="4:35" ht="11.25" customHeight="1" x14ac:dyDescent="0.15">
      <c r="D233" s="15" t="str">
        <f>$C$7&amp;"5."</f>
        <v>7.13.5.</v>
      </c>
      <c r="E233" s="28" t="s">
        <v>182</v>
      </c>
      <c r="F233" s="28"/>
    </row>
    <row r="234" spans="4:35" ht="11.25" customHeight="1" x14ac:dyDescent="0.15">
      <c r="E234" s="28" t="s">
        <v>274</v>
      </c>
    </row>
    <row r="235" spans="4:35" ht="11.25" customHeight="1" x14ac:dyDescent="0.15">
      <c r="E235" s="4" t="s">
        <v>275</v>
      </c>
    </row>
  </sheetData>
  <mergeCells count="15">
    <mergeCell ref="J197:AF198"/>
    <mergeCell ref="J199:AF200"/>
    <mergeCell ref="J201:AF202"/>
    <mergeCell ref="E1:O1"/>
    <mergeCell ref="R1:X1"/>
    <mergeCell ref="AA1:AE1"/>
    <mergeCell ref="AF1:AI1"/>
    <mergeCell ref="E2:O2"/>
    <mergeCell ref="R2:X3"/>
    <mergeCell ref="AA2:AE2"/>
    <mergeCell ref="AF2:AI2"/>
    <mergeCell ref="E3:O3"/>
    <mergeCell ref="AA3:AE3"/>
    <mergeCell ref="AF3:AI3"/>
    <mergeCell ref="J195:AF196"/>
  </mergeCells>
  <phoneticPr fontId="2"/>
  <hyperlinks>
    <hyperlink ref="J199" r:id="rId1" location="json" xr:uid="{52996156-CF03-4A13-9B78-35894E8A177D}"/>
    <hyperlink ref="J195" r:id="rId2" location="json" xr:uid="{4B5540C5-BAC2-46C8-9EA6-27E7EECDE333}"/>
    <hyperlink ref="J197" r:id="rId3" location="json" xr:uid="{AFF0734E-51A8-40B8-8554-6558C3D47A2C}"/>
    <hyperlink ref="J201" r:id="rId4" location="json" xr:uid="{1EE586A6-5FD6-48C4-ACEB-F877AB33F8B3}"/>
  </hyperlinks>
  <pageMargins left="0.7" right="0.7" top="0.75" bottom="0.75" header="0.3" footer="0.3"/>
  <pageSetup paperSize="9" fitToHeight="0" orientation="landscape" r:id="rId5"/>
  <rowBreaks count="5" manualBreakCount="5">
    <brk id="39" max="34" man="1"/>
    <brk id="77" max="34" man="1"/>
    <brk id="108" max="34" man="1"/>
    <brk id="148" max="34" man="1"/>
    <brk id="188" max="3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7.13.ログ</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2025-04-21T02:15:42Z</dcterms:created>
  <dcterms:modified xsi:type="dcterms:W3CDTF">2025-04-21T02:15:46Z</dcterms:modified>
  <cp:category/>
  <cp:contentStatus/>
</cp:coreProperties>
</file>