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filterPrivacy="1" codeName="ThisWorkbook" defaultThemeVersion="124226"/>
  <xr:revisionPtr revIDLastSave="0" documentId="13_ncr:1_{AD7220F7-B309-4970-A7B7-539FE90E82E9}" xr6:coauthVersionLast="47" xr6:coauthVersionMax="47" xr10:uidLastSave="{00000000-0000-0000-0000-000000000000}"/>
  <bookViews>
    <workbookView xWindow="1245" yWindow="-120" windowWidth="27675" windowHeight="16440" xr2:uid="{00000000-000D-0000-FFFF-FFFF00000000}"/>
  </bookViews>
  <sheets>
    <sheet name="7.5.認証・認可"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3" i="4" l="1"/>
  <c r="F288" i="4"/>
  <c r="F284" i="4"/>
  <c r="C7" i="4" l="1"/>
  <c r="D375" i="4" s="1"/>
  <c r="F40" i="4"/>
  <c r="F20" i="4"/>
  <c r="F10" i="4"/>
  <c r="D9" i="4" l="1"/>
  <c r="E20" i="4" s="1"/>
  <c r="D283" i="4"/>
  <c r="E303" i="4" s="1"/>
  <c r="E40" i="4" l="1"/>
  <c r="E10" i="4"/>
  <c r="E284" i="4"/>
  <c r="E288" i="4"/>
</calcChain>
</file>

<file path=xl/sharedStrings.xml><?xml version="1.0" encoding="utf-8"?>
<sst xmlns="http://schemas.openxmlformats.org/spreadsheetml/2006/main" count="287" uniqueCount="221">
  <si>
    <t>プロジェクト名</t>
    <phoneticPr fontId="3"/>
  </si>
  <si>
    <t>工程</t>
    <rPh sb="0" eb="2">
      <t>コウテイ</t>
    </rPh>
    <phoneticPr fontId="6"/>
  </si>
  <si>
    <t>要件定義</t>
    <rPh sb="0" eb="4">
      <t>ヨウケンテイギ</t>
    </rPh>
    <phoneticPr fontId="5"/>
  </si>
  <si>
    <t>作成</t>
    <phoneticPr fontId="6"/>
  </si>
  <si>
    <t>システム名</t>
  </si>
  <si>
    <t>成果物名</t>
    <phoneticPr fontId="6"/>
  </si>
  <si>
    <t>アプリケーション方式設計書</t>
  </si>
  <si>
    <t>変更</t>
    <phoneticPr fontId="6"/>
  </si>
  <si>
    <t>サブシステム名</t>
  </si>
  <si>
    <t>確認</t>
    <phoneticPr fontId="6"/>
  </si>
  <si>
    <t>7.</t>
    <phoneticPr fontId="5"/>
  </si>
  <si>
    <t>処理方式共通</t>
    <rPh sb="0" eb="2">
      <t>ショリ</t>
    </rPh>
    <rPh sb="2" eb="4">
      <t>ホウシキ</t>
    </rPh>
    <rPh sb="4" eb="6">
      <t>キョウツウ</t>
    </rPh>
    <phoneticPr fontId="5"/>
  </si>
  <si>
    <t>認証・認可</t>
    <rPh sb="0" eb="2">
      <t>ニンショウ</t>
    </rPh>
    <rPh sb="3" eb="5">
      <t>ニンカ</t>
    </rPh>
    <phoneticPr fontId="5"/>
  </si>
  <si>
    <t>認証</t>
    <rPh sb="0" eb="2">
      <t>ニンショウ</t>
    </rPh>
    <phoneticPr fontId="5"/>
  </si>
  <si>
    <t>本システムでは、画面処理方式と入力処理方式(REST)において認証の機能を設ける。</t>
    <rPh sb="0" eb="1">
      <t>ホン</t>
    </rPh>
    <rPh sb="8" eb="14">
      <t>ガメンショリホウシキ</t>
    </rPh>
    <rPh sb="15" eb="21">
      <t>ニュウリョクショリホウシキ</t>
    </rPh>
    <rPh sb="31" eb="33">
      <t>ニンショウ</t>
    </rPh>
    <rPh sb="34" eb="36">
      <t>キノウ</t>
    </rPh>
    <rPh sb="37" eb="38">
      <t>モウ</t>
    </rPh>
    <phoneticPr fontId="3"/>
  </si>
  <si>
    <t>画面処理方式は「管理者サイト」と「会員サイト」の２種類のWebサイトに分かれる。</t>
    <rPh sb="0" eb="6">
      <t>ガメンショリホウシキ</t>
    </rPh>
    <rPh sb="8" eb="11">
      <t>カンリシャ</t>
    </rPh>
    <rPh sb="17" eb="19">
      <t>カイイン</t>
    </rPh>
    <rPh sb="25" eb="27">
      <t>シュルイ</t>
    </rPh>
    <rPh sb="35" eb="36">
      <t>ワ</t>
    </rPh>
    <phoneticPr fontId="3"/>
  </si>
  <si>
    <t>「管理者サイト」は管理者が業務のために利用し、「会員サイト」はカード会員に対し各種サービスを提供する。</t>
    <phoneticPr fontId="3"/>
  </si>
  <si>
    <t>また入力処理方式(REST)では、会員情報を参照・更新するためのREST APIを連携元システムに対して提供する。</t>
    <rPh sb="2" eb="8">
      <t>ニュウリョクショリホウシキ</t>
    </rPh>
    <rPh sb="17" eb="19">
      <t>カイイン</t>
    </rPh>
    <rPh sb="19" eb="21">
      <t>ジョウホウ</t>
    </rPh>
    <rPh sb="22" eb="24">
      <t>サンショウ</t>
    </rPh>
    <rPh sb="25" eb="27">
      <t>コウシン</t>
    </rPh>
    <rPh sb="43" eb="44">
      <t>モト</t>
    </rPh>
    <rPh sb="52" eb="54">
      <t>テイキョウ</t>
    </rPh>
    <phoneticPr fontId="3"/>
  </si>
  <si>
    <t>以下で、それぞれにおいてどのような認証方法を採用するかを記述する。</t>
    <rPh sb="0" eb="2">
      <t>イカ</t>
    </rPh>
    <rPh sb="17" eb="19">
      <t>ニンショウ</t>
    </rPh>
    <rPh sb="19" eb="21">
      <t>ホウホウ</t>
    </rPh>
    <rPh sb="22" eb="24">
      <t>サイヨウ</t>
    </rPh>
    <rPh sb="28" eb="30">
      <t>キジュツ</t>
    </rPh>
    <phoneticPr fontId="3"/>
  </si>
  <si>
    <t>処理方式</t>
    <rPh sb="0" eb="4">
      <t>ショリホウシキ</t>
    </rPh>
    <phoneticPr fontId="3"/>
  </si>
  <si>
    <t>対象</t>
    <rPh sb="0" eb="2">
      <t>タイショウ</t>
    </rPh>
    <phoneticPr fontId="3"/>
  </si>
  <si>
    <t>認証方法</t>
    <rPh sb="0" eb="2">
      <t>ニンショウ</t>
    </rPh>
    <rPh sb="2" eb="4">
      <t>ホウホウ</t>
    </rPh>
    <phoneticPr fontId="3"/>
  </si>
  <si>
    <t>理由</t>
    <rPh sb="0" eb="2">
      <t>リユウ</t>
    </rPh>
    <phoneticPr fontId="5"/>
  </si>
  <si>
    <t>画面処理方式</t>
    <rPh sb="0" eb="6">
      <t>ガメンショリホウシキ</t>
    </rPh>
    <phoneticPr fontId="3"/>
  </si>
  <si>
    <t>会員サイト</t>
    <rPh sb="0" eb="2">
      <t>カイイン</t>
    </rPh>
    <phoneticPr fontId="3"/>
  </si>
  <si>
    <t>フォーム認証</t>
  </si>
  <si>
    <t>業務要件により、フォーム認証方式を採用する。</t>
    <rPh sb="0" eb="2">
      <t>ギョウム</t>
    </rPh>
    <rPh sb="2" eb="4">
      <t>ヨウケン</t>
    </rPh>
    <rPh sb="12" eb="14">
      <t>ニンショウ</t>
    </rPh>
    <rPh sb="14" eb="16">
      <t>ホウシキ</t>
    </rPh>
    <rPh sb="17" eb="19">
      <t>サイヨウ</t>
    </rPh>
    <phoneticPr fontId="3"/>
  </si>
  <si>
    <t>基本的にメールアドレス、パスワードのフォーム認証を行う。</t>
    <rPh sb="0" eb="3">
      <t>キホンテキ</t>
    </rPh>
    <rPh sb="22" eb="24">
      <t>ニンショウ</t>
    </rPh>
    <rPh sb="25" eb="26">
      <t>オコナ</t>
    </rPh>
    <phoneticPr fontId="3"/>
  </si>
  <si>
    <t>会員申込時に本人認証APIにより初回認証を強制する。</t>
    <rPh sb="0" eb="2">
      <t>カイイン</t>
    </rPh>
    <rPh sb="21" eb="23">
      <t>キョウセイ</t>
    </rPh>
    <phoneticPr fontId="3"/>
  </si>
  <si>
    <t>管理者サイト</t>
    <phoneticPr fontId="3"/>
  </si>
  <si>
    <t>カスタム認証</t>
  </si>
  <si>
    <t>業務要件により、カスタム認証方式を採用する。</t>
    <rPh sb="0" eb="2">
      <t>ギョウム</t>
    </rPh>
    <rPh sb="2" eb="4">
      <t>ヨウケン</t>
    </rPh>
    <rPh sb="12" eb="14">
      <t>ニンショウ</t>
    </rPh>
    <rPh sb="14" eb="16">
      <t>ホウシキ</t>
    </rPh>
    <rPh sb="17" eb="19">
      <t>サイヨウ</t>
    </rPh>
    <phoneticPr fontId="3"/>
  </si>
  <si>
    <t>管理者の場合：</t>
    <rPh sb="4" eb="6">
      <t>バアイ</t>
    </rPh>
    <phoneticPr fontId="3"/>
  </si>
  <si>
    <t>管理者の場合、シングルサインオン用サイトからのアクセスのみとなる。</t>
    <rPh sb="4" eb="6">
      <t>バアイ</t>
    </rPh>
    <phoneticPr fontId="3"/>
  </si>
  <si>
    <t>アクセスする際に本システムのログイン画面は表示しない。</t>
    <rPh sb="8" eb="9">
      <t>ホン</t>
    </rPh>
    <phoneticPr fontId="3"/>
  </si>
  <si>
    <t>保守会社社員の場合：</t>
    <rPh sb="4" eb="6">
      <t>シャイン</t>
    </rPh>
    <rPh sb="7" eb="9">
      <t>バアイ</t>
    </rPh>
    <phoneticPr fontId="3"/>
  </si>
  <si>
    <t>保守会社社員の場合、アクセスする際にログイン画面を表示する。</t>
    <rPh sb="4" eb="6">
      <t>シャイン</t>
    </rPh>
    <rPh sb="7" eb="9">
      <t>バアイ</t>
    </rPh>
    <rPh sb="16" eb="17">
      <t>サイ</t>
    </rPh>
    <rPh sb="22" eb="24">
      <t>ガメン</t>
    </rPh>
    <rPh sb="25" eb="27">
      <t>ヒョウジ</t>
    </rPh>
    <phoneticPr fontId="3"/>
  </si>
  <si>
    <t>（フォーム認証方式と同じ）</t>
    <phoneticPr fontId="3"/>
  </si>
  <si>
    <t>入力処理方式(REST)</t>
    <rPh sb="0" eb="6">
      <t>ニュウリョクショリホウシキ</t>
    </rPh>
    <phoneticPr fontId="3"/>
  </si>
  <si>
    <t>REST API</t>
    <phoneticPr fontId="3"/>
  </si>
  <si>
    <t>APIキー認証</t>
    <rPh sb="5" eb="7">
      <t>ニンショウ</t>
    </rPh>
    <phoneticPr fontId="3"/>
  </si>
  <si>
    <t>(1)</t>
    <phoneticPr fontId="5"/>
  </si>
  <si>
    <t>会員サイト認証方式</t>
    <rPh sb="0" eb="2">
      <t>カイイン</t>
    </rPh>
    <rPh sb="5" eb="7">
      <t>ニンショウ</t>
    </rPh>
    <rPh sb="7" eb="9">
      <t>ホウシキ</t>
    </rPh>
    <phoneticPr fontId="5"/>
  </si>
  <si>
    <t>会員サイトでは、認証方式として、ログイン画面でログインID（メールアドレス）およびパスワードを要求する</t>
    <rPh sb="0" eb="2">
      <t>カイイン</t>
    </rPh>
    <phoneticPr fontId="3"/>
  </si>
  <si>
    <t>一般的なフォーム認証方式を採用する。</t>
    <rPh sb="0" eb="3">
      <t>イッパンテキ</t>
    </rPh>
    <phoneticPr fontId="3"/>
  </si>
  <si>
    <t>各ユーザのパスワードは、不可逆暗号化（ハッシュ化）した状態でデータベース上に保存され、</t>
    <phoneticPr fontId="3"/>
  </si>
  <si>
    <t>入力パスワードを同じ方式で暗号化したものと比較することによって、パスワードの一致判定を行う。</t>
    <phoneticPr fontId="3"/>
  </si>
  <si>
    <t>また、会員サイトのログインにて連続して規定回数ログインに失敗した場合には、アカウントのロックを行うものとする。</t>
    <rPh sb="3" eb="5">
      <t>カイイン</t>
    </rPh>
    <rPh sb="15" eb="17">
      <t>レンゾク</t>
    </rPh>
    <rPh sb="19" eb="21">
      <t>キテイ</t>
    </rPh>
    <rPh sb="21" eb="23">
      <t>カイスウ</t>
    </rPh>
    <rPh sb="28" eb="30">
      <t>シッパイ</t>
    </rPh>
    <rPh sb="32" eb="34">
      <t>バアイ</t>
    </rPh>
    <rPh sb="47" eb="48">
      <t>オコナ</t>
    </rPh>
    <phoneticPr fontId="3"/>
  </si>
  <si>
    <t>アカウントのロックはパスワードをクリアすることで解除できる。</t>
    <rPh sb="24" eb="26">
      <t>カイジョ</t>
    </rPh>
    <phoneticPr fontId="3"/>
  </si>
  <si>
    <t>(1).1.</t>
    <phoneticPr fontId="3"/>
  </si>
  <si>
    <t>認証処理シーケンス</t>
    <rPh sb="0" eb="2">
      <t>ニンショウ</t>
    </rPh>
    <rPh sb="2" eb="4">
      <t>ショリ</t>
    </rPh>
    <phoneticPr fontId="3"/>
  </si>
  <si>
    <t>会員サイトではログインを行うことで認証処理を行う。本処理は認証ユーティリティを通じて行うものとする。</t>
    <rPh sb="0" eb="2">
      <t>カイイン</t>
    </rPh>
    <rPh sb="12" eb="13">
      <t>オコナ</t>
    </rPh>
    <rPh sb="17" eb="19">
      <t>ニンショウ</t>
    </rPh>
    <rPh sb="19" eb="21">
      <t>ショリ</t>
    </rPh>
    <rPh sb="22" eb="23">
      <t>オコナ</t>
    </rPh>
    <rPh sb="25" eb="26">
      <t>ホン</t>
    </rPh>
    <rPh sb="26" eb="28">
      <t>ショリ</t>
    </rPh>
    <rPh sb="29" eb="31">
      <t>ニンショウ</t>
    </rPh>
    <rPh sb="39" eb="40">
      <t>ツウ</t>
    </rPh>
    <rPh sb="42" eb="43">
      <t>オコナ</t>
    </rPh>
    <phoneticPr fontId="3"/>
  </si>
  <si>
    <t>以下に認証処理に関する処理シーケンスを記す。</t>
    <rPh sb="0" eb="2">
      <t>イカ</t>
    </rPh>
    <rPh sb="3" eb="5">
      <t>ニンショウ</t>
    </rPh>
    <rPh sb="5" eb="7">
      <t>ショリ</t>
    </rPh>
    <rPh sb="8" eb="9">
      <t>カン</t>
    </rPh>
    <rPh sb="11" eb="13">
      <t>ショリ</t>
    </rPh>
    <rPh sb="19" eb="20">
      <t>シル</t>
    </rPh>
    <phoneticPr fontId="3"/>
  </si>
  <si>
    <t>(1).2.</t>
    <phoneticPr fontId="3"/>
  </si>
  <si>
    <t>認証チェックシーケンス</t>
    <rPh sb="0" eb="2">
      <t>ニンショウ</t>
    </rPh>
    <phoneticPr fontId="3"/>
  </si>
  <si>
    <t>会員サイトにリクエストがなされたとき、リクエストが認証されたものかどうかをチェックする。</t>
    <rPh sb="0" eb="2">
      <t>カイイン</t>
    </rPh>
    <rPh sb="25" eb="27">
      <t>ニンショウ</t>
    </rPh>
    <phoneticPr fontId="3"/>
  </si>
  <si>
    <t>本処理は認証チェックハンドラを通じて行うものとする。</t>
    <rPh sb="0" eb="1">
      <t>ホン</t>
    </rPh>
    <rPh sb="1" eb="3">
      <t>ショリ</t>
    </rPh>
    <rPh sb="4" eb="6">
      <t>ニンショウ</t>
    </rPh>
    <rPh sb="15" eb="16">
      <t>ツウ</t>
    </rPh>
    <rPh sb="18" eb="19">
      <t>オコナ</t>
    </rPh>
    <phoneticPr fontId="3"/>
  </si>
  <si>
    <t>(1).3.</t>
    <phoneticPr fontId="3"/>
  </si>
  <si>
    <t>認証情報データモデル</t>
    <rPh sb="0" eb="2">
      <t>ニンショウ</t>
    </rPh>
    <rPh sb="2" eb="4">
      <t>ジョウホウ</t>
    </rPh>
    <phoneticPr fontId="3"/>
  </si>
  <si>
    <t>会員サイトにおける認証情報のデータモデルは以下の通り。</t>
    <rPh sb="0" eb="2">
      <t>カイイン</t>
    </rPh>
    <rPh sb="9" eb="11">
      <t>ニンショウ</t>
    </rPh>
    <rPh sb="11" eb="13">
      <t>ジョウホウ</t>
    </rPh>
    <rPh sb="21" eb="23">
      <t>イカ</t>
    </rPh>
    <rPh sb="24" eb="25">
      <t>トオ</t>
    </rPh>
    <phoneticPr fontId="3"/>
  </si>
  <si>
    <t>(1).4.</t>
    <phoneticPr fontId="3"/>
  </si>
  <si>
    <t>その他制約など</t>
    <rPh sb="2" eb="3">
      <t>タ</t>
    </rPh>
    <rPh sb="3" eb="5">
      <t>セイヤク</t>
    </rPh>
    <phoneticPr fontId="3"/>
  </si>
  <si>
    <t>(1).4.1.</t>
    <phoneticPr fontId="3"/>
  </si>
  <si>
    <t>アカウントのロック</t>
    <phoneticPr fontId="3"/>
  </si>
  <si>
    <t>パスワードの入力で既定回数（設定ファイルで管理）誤った場合、アカウントをロックする。</t>
    <rPh sb="6" eb="8">
      <t>ニュウリョク</t>
    </rPh>
    <rPh sb="9" eb="11">
      <t>キテイ</t>
    </rPh>
    <rPh sb="11" eb="13">
      <t>カイスウ</t>
    </rPh>
    <rPh sb="14" eb="16">
      <t>セッテイ</t>
    </rPh>
    <rPh sb="21" eb="23">
      <t>カンリ</t>
    </rPh>
    <rPh sb="24" eb="25">
      <t>アヤマ</t>
    </rPh>
    <rPh sb="27" eb="29">
      <t>バアイ</t>
    </rPh>
    <phoneticPr fontId="3"/>
  </si>
  <si>
    <t>※アカウントロックの解除にはパスワードリセットを行う。</t>
    <rPh sb="10" eb="12">
      <t>カイジョ</t>
    </rPh>
    <rPh sb="24" eb="25">
      <t>オコナ</t>
    </rPh>
    <phoneticPr fontId="3"/>
  </si>
  <si>
    <t>(2)</t>
    <phoneticPr fontId="5"/>
  </si>
  <si>
    <t>管理者サイト認証方式</t>
    <rPh sb="6" eb="8">
      <t>ニンショウ</t>
    </rPh>
    <rPh sb="8" eb="10">
      <t>ホウシキ</t>
    </rPh>
    <phoneticPr fontId="5"/>
  </si>
  <si>
    <t>管理者サイトでは、ログインするユーザが管理者ユーザであるか保守会社ユーザであるかによって認証の方法を切り替える</t>
    <phoneticPr fontId="3"/>
  </si>
  <si>
    <t>カスタム認証方式を採用する。</t>
    <phoneticPr fontId="3"/>
  </si>
  <si>
    <t>(2).1.</t>
    <phoneticPr fontId="3"/>
  </si>
  <si>
    <t>ユーザ種別</t>
    <rPh sb="3" eb="5">
      <t>シュベツ</t>
    </rPh>
    <phoneticPr fontId="3"/>
  </si>
  <si>
    <t>管理者サイトでは、以下の方式で管理者ユーザ・保守会社ユーザが存在する。</t>
    <rPh sb="9" eb="11">
      <t>イカ</t>
    </rPh>
    <rPh sb="12" eb="14">
      <t>ホウシキ</t>
    </rPh>
    <rPh sb="30" eb="32">
      <t>ソンザイ</t>
    </rPh>
    <phoneticPr fontId="3"/>
  </si>
  <si>
    <t>管理者ユーザ：</t>
    <phoneticPr fontId="3"/>
  </si>
  <si>
    <t>シングルサインオン用サイトより渡されたURLパラメータに暗号化された管理者IDが存在する場合、</t>
    <rPh sb="15" eb="16">
      <t>ワタ</t>
    </rPh>
    <rPh sb="28" eb="31">
      <t>アンゴウカ</t>
    </rPh>
    <rPh sb="40" eb="42">
      <t>ソンザイ</t>
    </rPh>
    <rPh sb="44" eb="46">
      <t>バアイ</t>
    </rPh>
    <phoneticPr fontId="3"/>
  </si>
  <si>
    <t>管理者ユーザ用の認証を行う。</t>
    <phoneticPr fontId="3"/>
  </si>
  <si>
    <t>※対象のURLはあらかじめ設定されているものとする。</t>
    <rPh sb="1" eb="3">
      <t>タイショウ</t>
    </rPh>
    <rPh sb="13" eb="15">
      <t>セッテイ</t>
    </rPh>
    <phoneticPr fontId="3"/>
  </si>
  <si>
    <t>保守会社ユーザ：</t>
    <phoneticPr fontId="3"/>
  </si>
  <si>
    <t>保守会社ユーザはログイン画面からログインID、パスワードを入力するフォーム認証を行う。</t>
    <rPh sb="12" eb="14">
      <t>ガメン</t>
    </rPh>
    <rPh sb="29" eb="31">
      <t>ニュウリョク</t>
    </rPh>
    <rPh sb="37" eb="39">
      <t>ニンショウ</t>
    </rPh>
    <rPh sb="40" eb="41">
      <t>オコナ</t>
    </rPh>
    <phoneticPr fontId="3"/>
  </si>
  <si>
    <t>フォーム認証を行ったユーザは保守会社ユーザとする。</t>
    <rPh sb="4" eb="6">
      <t>ニンショウ</t>
    </rPh>
    <rPh sb="7" eb="8">
      <t>オコナ</t>
    </rPh>
    <phoneticPr fontId="3"/>
  </si>
  <si>
    <t>管理者ユーザ</t>
    <phoneticPr fontId="3"/>
  </si>
  <si>
    <t>管理者が管理者サイトを利用する際には、シングルサインオン用サイトより連携され、</t>
    <rPh sb="11" eb="13">
      <t>リヨウ</t>
    </rPh>
    <rPh sb="15" eb="16">
      <t>サイ</t>
    </rPh>
    <rPh sb="34" eb="36">
      <t>レンケイ</t>
    </rPh>
    <phoneticPr fontId="3"/>
  </si>
  <si>
    <t>管理者認証情報取込（バッチ処理）により取り込まれた認証情報を利用する。</t>
  </si>
  <si>
    <t>(2).1.1.</t>
    <phoneticPr fontId="3"/>
  </si>
  <si>
    <t>管理者ユーザが管理者サイトにアクセスする際は、アクセスURLに付与されたハッシュ化管理者IDを用いて認証処理を行う。</t>
    <rPh sb="20" eb="21">
      <t>サイ</t>
    </rPh>
    <rPh sb="31" eb="33">
      <t>フヨ</t>
    </rPh>
    <rPh sb="40" eb="41">
      <t>カ</t>
    </rPh>
    <rPh sb="47" eb="48">
      <t>モチ</t>
    </rPh>
    <rPh sb="50" eb="52">
      <t>ニンショウ</t>
    </rPh>
    <rPh sb="52" eb="54">
      <t>ショリ</t>
    </rPh>
    <rPh sb="55" eb="56">
      <t>オコナ</t>
    </rPh>
    <phoneticPr fontId="3"/>
  </si>
  <si>
    <t>本処理は管理者認証ハンドラを通じて行うものとする。</t>
    <rPh sb="0" eb="1">
      <t>ホン</t>
    </rPh>
    <rPh sb="1" eb="3">
      <t>ショリ</t>
    </rPh>
    <rPh sb="7" eb="9">
      <t>ニンショウ</t>
    </rPh>
    <rPh sb="14" eb="15">
      <t>ツウ</t>
    </rPh>
    <rPh sb="17" eb="18">
      <t>オコナ</t>
    </rPh>
    <phoneticPr fontId="3"/>
  </si>
  <si>
    <t>以下に管理者ユーザの管理者サイトでの認証処理に関するシーケンスを記す。</t>
    <rPh sb="0" eb="2">
      <t>イカ</t>
    </rPh>
    <rPh sb="18" eb="20">
      <t>ニンショウ</t>
    </rPh>
    <rPh sb="20" eb="22">
      <t>ショリ</t>
    </rPh>
    <rPh sb="23" eb="24">
      <t>カン</t>
    </rPh>
    <rPh sb="32" eb="33">
      <t>シル</t>
    </rPh>
    <phoneticPr fontId="3"/>
  </si>
  <si>
    <t>(2).1.2.</t>
    <phoneticPr fontId="3"/>
  </si>
  <si>
    <t>管理者サイトにリクエストがなされたとき、リクエストが認証されたものかどうかをチェックする。</t>
    <rPh sb="26" eb="28">
      <t>ニンショウ</t>
    </rPh>
    <phoneticPr fontId="3"/>
  </si>
  <si>
    <t>(2).1.3.</t>
    <phoneticPr fontId="3"/>
  </si>
  <si>
    <t>認証データモデル</t>
    <rPh sb="0" eb="2">
      <t>ニンショウ</t>
    </rPh>
    <phoneticPr fontId="3"/>
  </si>
  <si>
    <t>以下に管理者ユーザの認証処理方式に関連したデータモデルを記す。</t>
    <rPh sb="0" eb="2">
      <t>イカ</t>
    </rPh>
    <rPh sb="10" eb="12">
      <t>ニンショウ</t>
    </rPh>
    <rPh sb="12" eb="14">
      <t>ショリ</t>
    </rPh>
    <rPh sb="14" eb="16">
      <t>ホウシキ</t>
    </rPh>
    <rPh sb="17" eb="19">
      <t>カンレン</t>
    </rPh>
    <rPh sb="28" eb="29">
      <t>シル</t>
    </rPh>
    <phoneticPr fontId="3"/>
  </si>
  <si>
    <t>(2).1.4.</t>
    <phoneticPr fontId="3"/>
  </si>
  <si>
    <t>(2).1.4.1.</t>
    <phoneticPr fontId="3"/>
  </si>
  <si>
    <t>管理者ユーザの認証処理はシングルサインオン用サイトにて行われるため、本システムではアカウントのロックを行わない。</t>
    <phoneticPr fontId="3"/>
  </si>
  <si>
    <t>(2).2.</t>
    <phoneticPr fontId="3"/>
  </si>
  <si>
    <t>保守会社ユーザ</t>
    <phoneticPr fontId="3"/>
  </si>
  <si>
    <t>保守会社社員が管理者サイトを利用する際には、事前に保守会社ユーザ情報登録により登録された認証情報を利用する。</t>
    <rPh sb="4" eb="6">
      <t>シャイン</t>
    </rPh>
    <rPh sb="14" eb="16">
      <t>リヨウ</t>
    </rPh>
    <rPh sb="18" eb="19">
      <t>サイ</t>
    </rPh>
    <rPh sb="22" eb="24">
      <t>ジゼン</t>
    </rPh>
    <rPh sb="39" eb="41">
      <t>トウロク</t>
    </rPh>
    <rPh sb="44" eb="46">
      <t>ニンショウ</t>
    </rPh>
    <rPh sb="46" eb="48">
      <t>ジョウホウ</t>
    </rPh>
    <rPh sb="49" eb="51">
      <t>リヨウ</t>
    </rPh>
    <phoneticPr fontId="3"/>
  </si>
  <si>
    <t>本方式においてはログイン画面を提供し、ユーザID・パスワードを入力するフォーム認証を実施する。</t>
    <rPh sb="0" eb="1">
      <t>ホン</t>
    </rPh>
    <rPh sb="1" eb="3">
      <t>ホウシキ</t>
    </rPh>
    <rPh sb="12" eb="14">
      <t>ガメン</t>
    </rPh>
    <rPh sb="15" eb="17">
      <t>テイキョウ</t>
    </rPh>
    <rPh sb="31" eb="33">
      <t>ニュウリョク</t>
    </rPh>
    <rPh sb="39" eb="41">
      <t>ニンショウ</t>
    </rPh>
    <rPh sb="42" eb="44">
      <t>ジッシ</t>
    </rPh>
    <phoneticPr fontId="3"/>
  </si>
  <si>
    <t>(2).2.1.</t>
    <phoneticPr fontId="3"/>
  </si>
  <si>
    <t>保守会社ユーザが管理者サイトを利用する際はログイン画面を用いて認証処理を行う。</t>
    <rPh sb="15" eb="17">
      <t>リヨウ</t>
    </rPh>
    <rPh sb="19" eb="20">
      <t>サイ</t>
    </rPh>
    <rPh sb="25" eb="27">
      <t>ガメン</t>
    </rPh>
    <rPh sb="28" eb="29">
      <t>モチ</t>
    </rPh>
    <rPh sb="31" eb="33">
      <t>ニンショウ</t>
    </rPh>
    <rPh sb="33" eb="35">
      <t>ショリ</t>
    </rPh>
    <rPh sb="36" eb="37">
      <t>オコナ</t>
    </rPh>
    <phoneticPr fontId="3"/>
  </si>
  <si>
    <t>本処理は認証ユーティリティを通じて行うものとする。</t>
  </si>
  <si>
    <t>以下に保守会社ユーザの管理者サイトでの認証処理に関するシーケンスを記す。</t>
    <rPh sb="0" eb="2">
      <t>イカ</t>
    </rPh>
    <rPh sb="19" eb="21">
      <t>ニンショウ</t>
    </rPh>
    <rPh sb="21" eb="23">
      <t>ショリ</t>
    </rPh>
    <rPh sb="24" eb="25">
      <t>カン</t>
    </rPh>
    <rPh sb="33" eb="34">
      <t>シル</t>
    </rPh>
    <phoneticPr fontId="3"/>
  </si>
  <si>
    <t>(2).2.2.</t>
    <phoneticPr fontId="3"/>
  </si>
  <si>
    <t>【(2).1.2.認証チェックシーケンス】と同様。</t>
    <rPh sb="9" eb="11">
      <t>ニンショウ</t>
    </rPh>
    <rPh sb="22" eb="24">
      <t>ドウヨウ</t>
    </rPh>
    <phoneticPr fontId="3"/>
  </si>
  <si>
    <t>(2).2.3.</t>
    <phoneticPr fontId="3"/>
  </si>
  <si>
    <t>以下に保守会社ユーザの認証処理方式に関したデータモデルを記す。</t>
    <rPh sb="0" eb="2">
      <t>イカ</t>
    </rPh>
    <rPh sb="11" eb="13">
      <t>ニンショウ</t>
    </rPh>
    <rPh sb="13" eb="15">
      <t>ショリ</t>
    </rPh>
    <rPh sb="15" eb="17">
      <t>ホウシキ</t>
    </rPh>
    <rPh sb="18" eb="19">
      <t>カン</t>
    </rPh>
    <rPh sb="28" eb="29">
      <t>シル</t>
    </rPh>
    <phoneticPr fontId="3"/>
  </si>
  <si>
    <t>(2).2.4.</t>
    <phoneticPr fontId="3"/>
  </si>
  <si>
    <t>(2).2.4.1.</t>
    <phoneticPr fontId="3"/>
  </si>
  <si>
    <t>パスワードの入力で既定回数（設定ファイルで管理）誤った場合、既定時間（設定ファイルで管理）アカウントをロックする。</t>
    <rPh sb="6" eb="8">
      <t>ニュウリョク</t>
    </rPh>
    <rPh sb="9" eb="11">
      <t>キテイ</t>
    </rPh>
    <rPh sb="11" eb="13">
      <t>カイスウ</t>
    </rPh>
    <rPh sb="14" eb="16">
      <t>セッテイ</t>
    </rPh>
    <rPh sb="21" eb="23">
      <t>カンリ</t>
    </rPh>
    <rPh sb="24" eb="25">
      <t>アヤマ</t>
    </rPh>
    <rPh sb="27" eb="29">
      <t>バアイ</t>
    </rPh>
    <rPh sb="30" eb="32">
      <t>キテイ</t>
    </rPh>
    <rPh sb="32" eb="34">
      <t>ジカン</t>
    </rPh>
    <rPh sb="35" eb="37">
      <t>セッテイ</t>
    </rPh>
    <rPh sb="42" eb="44">
      <t>カンリ</t>
    </rPh>
    <phoneticPr fontId="3"/>
  </si>
  <si>
    <t>既定時間経過後、正常にログインできた場合にアカウントロックを解除する。</t>
    <rPh sb="0" eb="2">
      <t>キテイ</t>
    </rPh>
    <rPh sb="2" eb="4">
      <t>ジカン</t>
    </rPh>
    <rPh sb="4" eb="6">
      <t>ケイカ</t>
    </rPh>
    <rPh sb="6" eb="7">
      <t>ゴ</t>
    </rPh>
    <rPh sb="8" eb="10">
      <t>セイジョウ</t>
    </rPh>
    <rPh sb="18" eb="20">
      <t>バアイ</t>
    </rPh>
    <rPh sb="30" eb="32">
      <t>カイジョ</t>
    </rPh>
    <phoneticPr fontId="3"/>
  </si>
  <si>
    <t>※【認証処理シーケンス】を参照</t>
    <rPh sb="2" eb="4">
      <t>ニンショウ</t>
    </rPh>
    <rPh sb="4" eb="6">
      <t>ショリ</t>
    </rPh>
    <rPh sb="13" eb="15">
      <t>サンショウ</t>
    </rPh>
    <phoneticPr fontId="3"/>
  </si>
  <si>
    <t>(2).2.4.2</t>
    <phoneticPr fontId="3"/>
  </si>
  <si>
    <t>保守会社ユーザ認証情報のメンテナンス</t>
    <rPh sb="7" eb="9">
      <t>ニンショウ</t>
    </rPh>
    <rPh sb="9" eb="11">
      <t>ジョウホウ</t>
    </rPh>
    <phoneticPr fontId="3"/>
  </si>
  <si>
    <t>保守会社ユーザの認証情報はSE作業によりメンテナンスされる。</t>
    <rPh sb="8" eb="10">
      <t>ニンショウ</t>
    </rPh>
    <rPh sb="10" eb="12">
      <t>ジョウホウ</t>
    </rPh>
    <rPh sb="15" eb="17">
      <t>サギョウ</t>
    </rPh>
    <phoneticPr fontId="3"/>
  </si>
  <si>
    <t>システムによるアカウントの登録・更新・削除などの機能は提供しない。</t>
    <rPh sb="13" eb="15">
      <t>トウロク</t>
    </rPh>
    <rPh sb="16" eb="18">
      <t>コウシン</t>
    </rPh>
    <rPh sb="19" eb="21">
      <t>サクジョ</t>
    </rPh>
    <rPh sb="24" eb="26">
      <t>キノウ</t>
    </rPh>
    <rPh sb="27" eb="29">
      <t>テイキョウ</t>
    </rPh>
    <phoneticPr fontId="3"/>
  </si>
  <si>
    <t>(3)</t>
    <phoneticPr fontId="5"/>
  </si>
  <si>
    <t>REST API認証方式</t>
    <rPh sb="8" eb="10">
      <t>ニンショウ</t>
    </rPh>
    <rPh sb="10" eb="12">
      <t>ホウシキ</t>
    </rPh>
    <phoneticPr fontId="5"/>
  </si>
  <si>
    <t>REST APIではAPIキー認証方式を採用する。</t>
    <rPh sb="15" eb="19">
      <t>ニンショウホウシキ</t>
    </rPh>
    <rPh sb="20" eb="22">
      <t>サイヨウ</t>
    </rPh>
    <phoneticPr fontId="3"/>
  </si>
  <si>
    <t>APIキー認証方式では、あらかじめ連携元システムごとに一意なAPIキーを発行して連携元システムに共有しておく。</t>
    <rPh sb="5" eb="9">
      <t>ニンショウホウシキ</t>
    </rPh>
    <rPh sb="17" eb="20">
      <t>レンケイモト</t>
    </rPh>
    <rPh sb="27" eb="29">
      <t>イチイ</t>
    </rPh>
    <rPh sb="36" eb="38">
      <t>ハッコウ</t>
    </rPh>
    <rPh sb="40" eb="43">
      <t>レンケイモト</t>
    </rPh>
    <rPh sb="48" eb="50">
      <t>キョウユウ</t>
    </rPh>
    <phoneticPr fontId="3"/>
  </si>
  <si>
    <t>連携元システムは、リクエストのHTTPヘッダーにAPIキーを設定してリクエストを送信する。</t>
    <rPh sb="0" eb="3">
      <t>レンケイモト</t>
    </rPh>
    <rPh sb="30" eb="32">
      <t>セッテイ</t>
    </rPh>
    <rPh sb="40" eb="42">
      <t>ソウシン</t>
    </rPh>
    <phoneticPr fontId="3"/>
  </si>
  <si>
    <t>本システムでは受け取ったリクエストに設定されたAPIキーを検証し、リクエストの送信元が連携元システムであることを認証する。</t>
    <rPh sb="0" eb="1">
      <t>ホン</t>
    </rPh>
    <rPh sb="7" eb="8">
      <t>ウ</t>
    </rPh>
    <rPh sb="9" eb="10">
      <t>ト</t>
    </rPh>
    <rPh sb="18" eb="20">
      <t>セッテイ</t>
    </rPh>
    <rPh sb="29" eb="31">
      <t>ケンショウ</t>
    </rPh>
    <rPh sb="39" eb="42">
      <t>ソウシンモト</t>
    </rPh>
    <rPh sb="43" eb="46">
      <t>レンケイモト</t>
    </rPh>
    <rPh sb="56" eb="58">
      <t>ニンショウ</t>
    </rPh>
    <phoneticPr fontId="3"/>
  </si>
  <si>
    <t>なお、APIキーを設定するHTTPヘッダーの名前は"X-Auth-Token"とする。</t>
    <rPh sb="9" eb="11">
      <t>セッテイ</t>
    </rPh>
    <rPh sb="22" eb="24">
      <t>ナマエ</t>
    </rPh>
    <phoneticPr fontId="3"/>
  </si>
  <si>
    <t>(3).1.</t>
    <phoneticPr fontId="3"/>
  </si>
  <si>
    <t>REST API にリクエストがなされたとき、リクエストが認証されたものかどうかをチェックする。</t>
    <rPh sb="29" eb="31">
      <t>ニンショウ</t>
    </rPh>
    <phoneticPr fontId="3"/>
  </si>
  <si>
    <t>本処理はREST API用の認証チェックハンドラを通じて行うものとする。</t>
    <rPh sb="0" eb="1">
      <t>ホン</t>
    </rPh>
    <rPh sb="1" eb="3">
      <t>ショリ</t>
    </rPh>
    <rPh sb="12" eb="13">
      <t>ヨウ</t>
    </rPh>
    <rPh sb="14" eb="16">
      <t>ニンショウ</t>
    </rPh>
    <rPh sb="25" eb="26">
      <t>ツウ</t>
    </rPh>
    <rPh sb="28" eb="29">
      <t>オコナ</t>
    </rPh>
    <phoneticPr fontId="3"/>
  </si>
  <si>
    <t>認可</t>
    <rPh sb="0" eb="2">
      <t>ニンカ</t>
    </rPh>
    <phoneticPr fontId="5"/>
  </si>
  <si>
    <t>URLで表すリソースに対してアクセスする権限をチェックし、アクセス可能である場合のみ、リクエストを許容する機能である。</t>
    <rPh sb="4" eb="5">
      <t>アラワ</t>
    </rPh>
    <rPh sb="11" eb="12">
      <t>タイ</t>
    </rPh>
    <rPh sb="20" eb="22">
      <t>ケンゲン</t>
    </rPh>
    <rPh sb="33" eb="35">
      <t>カノウ</t>
    </rPh>
    <rPh sb="38" eb="40">
      <t>バアイ</t>
    </rPh>
    <rPh sb="49" eb="51">
      <t>キョヨウ</t>
    </rPh>
    <rPh sb="53" eb="55">
      <t>キノウ</t>
    </rPh>
    <phoneticPr fontId="3"/>
  </si>
  <si>
    <t>以下に本システムにて使用する認可機能を記述する。</t>
    <rPh sb="0" eb="2">
      <t>イカ</t>
    </rPh>
    <rPh sb="3" eb="4">
      <t>ホン</t>
    </rPh>
    <rPh sb="10" eb="12">
      <t>シヨウ</t>
    </rPh>
    <rPh sb="14" eb="16">
      <t>ニンカ</t>
    </rPh>
    <rPh sb="16" eb="18">
      <t>キノウ</t>
    </rPh>
    <rPh sb="19" eb="21">
      <t>キジュツ</t>
    </rPh>
    <phoneticPr fontId="3"/>
  </si>
  <si>
    <t>認可方法</t>
    <rPh sb="0" eb="2">
      <t>ニンカ</t>
    </rPh>
    <rPh sb="2" eb="4">
      <t>ホウホウ</t>
    </rPh>
    <phoneticPr fontId="3"/>
  </si>
  <si>
    <t>Nablarch認可機能を利用</t>
    <rPh sb="8" eb="10">
      <t>ニンカ</t>
    </rPh>
    <rPh sb="10" eb="12">
      <t>キノウ</t>
    </rPh>
    <rPh sb="13" eb="15">
      <t>リヨウ</t>
    </rPh>
    <phoneticPr fontId="3"/>
  </si>
  <si>
    <t>Nablarch標準機能にて要件を実現可能なため。</t>
    <rPh sb="8" eb="10">
      <t>ヒョウジュン</t>
    </rPh>
    <rPh sb="10" eb="12">
      <t>キノウ</t>
    </rPh>
    <rPh sb="14" eb="16">
      <t>ヨウケン</t>
    </rPh>
    <rPh sb="17" eb="19">
      <t>ジツゲン</t>
    </rPh>
    <rPh sb="19" eb="21">
      <t>カノウ</t>
    </rPh>
    <phoneticPr fontId="3"/>
  </si>
  <si>
    <t>-</t>
    <phoneticPr fontId="3"/>
  </si>
  <si>
    <t>本システムの認可方式はNablarch標準の認可チェック機能（ここでは特に認可チェックハンドラ）を用いて実現する。</t>
    <rPh sb="0" eb="1">
      <t>ホン</t>
    </rPh>
    <rPh sb="6" eb="8">
      <t>ニンカ</t>
    </rPh>
    <rPh sb="8" eb="10">
      <t>ホウシキ</t>
    </rPh>
    <rPh sb="19" eb="21">
      <t>ヒョウジュン</t>
    </rPh>
    <rPh sb="22" eb="24">
      <t>ニンカ</t>
    </rPh>
    <rPh sb="28" eb="30">
      <t>キノウ</t>
    </rPh>
    <rPh sb="35" eb="36">
      <t>トク</t>
    </rPh>
    <rPh sb="37" eb="39">
      <t>ニンカ</t>
    </rPh>
    <rPh sb="49" eb="50">
      <t>モチ</t>
    </rPh>
    <rPh sb="52" eb="54">
      <t>ジツゲン</t>
    </rPh>
    <phoneticPr fontId="3"/>
  </si>
  <si>
    <t>以下に本システムの認可処理シーケンスを記す。</t>
    <rPh sb="0" eb="2">
      <t>イカ</t>
    </rPh>
    <rPh sb="3" eb="4">
      <t>ホン</t>
    </rPh>
    <rPh sb="9" eb="11">
      <t>ニンカ</t>
    </rPh>
    <rPh sb="11" eb="13">
      <t>ショリ</t>
    </rPh>
    <rPh sb="19" eb="20">
      <t>シル</t>
    </rPh>
    <phoneticPr fontId="3"/>
  </si>
  <si>
    <t>(1)</t>
    <phoneticPr fontId="3"/>
  </si>
  <si>
    <t>会員サイトの認可設定</t>
    <rPh sb="0" eb="2">
      <t>カイイン</t>
    </rPh>
    <rPh sb="6" eb="8">
      <t>ニンカ</t>
    </rPh>
    <rPh sb="8" eb="10">
      <t>セッテイ</t>
    </rPh>
    <phoneticPr fontId="3"/>
  </si>
  <si>
    <t>会員サイトでは認証できたユーザはすべてのページを閲覧可能なように認可設定を行う。</t>
    <rPh sb="0" eb="2">
      <t>カイイン</t>
    </rPh>
    <rPh sb="7" eb="9">
      <t>ニンショウ</t>
    </rPh>
    <rPh sb="24" eb="26">
      <t>エツラン</t>
    </rPh>
    <rPh sb="26" eb="28">
      <t>カノウ</t>
    </rPh>
    <rPh sb="32" eb="34">
      <t>ニンカ</t>
    </rPh>
    <rPh sb="34" eb="36">
      <t>セッテイ</t>
    </rPh>
    <rPh sb="37" eb="38">
      <t>オコナ</t>
    </rPh>
    <phoneticPr fontId="3"/>
  </si>
  <si>
    <t>ただし、ページで表示するデータはそのユーザのデータのみとなるように各機能で表示データを制御する。</t>
    <rPh sb="8" eb="10">
      <t>ヒョウジ</t>
    </rPh>
    <rPh sb="33" eb="34">
      <t>カク</t>
    </rPh>
    <rPh sb="34" eb="36">
      <t>キノウ</t>
    </rPh>
    <rPh sb="37" eb="39">
      <t>ヒョウジ</t>
    </rPh>
    <rPh sb="43" eb="45">
      <t>セイギョ</t>
    </rPh>
    <phoneticPr fontId="3"/>
  </si>
  <si>
    <t>なお、ユーザ、グループ毎の許可単位設定は定義しない。</t>
    <rPh sb="11" eb="12">
      <t>ゴト</t>
    </rPh>
    <rPh sb="13" eb="15">
      <t>キョカ</t>
    </rPh>
    <rPh sb="15" eb="17">
      <t>タンイ</t>
    </rPh>
    <rPh sb="17" eb="19">
      <t>セッテイ</t>
    </rPh>
    <rPh sb="20" eb="22">
      <t>テイギ</t>
    </rPh>
    <phoneticPr fontId="3"/>
  </si>
  <si>
    <t>※会員サイトにて特別なロールを持ったユーザやグループを定義する必要がある場合、プロジェクト内のアーキテクトに相談すること。</t>
    <rPh sb="1" eb="3">
      <t>カイイン</t>
    </rPh>
    <rPh sb="8" eb="10">
      <t>トクベツ</t>
    </rPh>
    <rPh sb="15" eb="16">
      <t>モ</t>
    </rPh>
    <rPh sb="27" eb="29">
      <t>テイギ</t>
    </rPh>
    <rPh sb="31" eb="33">
      <t>ヒツヨウ</t>
    </rPh>
    <rPh sb="36" eb="38">
      <t>バアイ</t>
    </rPh>
    <rPh sb="45" eb="46">
      <t>ナイ</t>
    </rPh>
    <rPh sb="54" eb="56">
      <t>ソウダン</t>
    </rPh>
    <phoneticPr fontId="3"/>
  </si>
  <si>
    <t>(2)</t>
    <phoneticPr fontId="3"/>
  </si>
  <si>
    <t>管理者サイトの認可設定</t>
    <rPh sb="7" eb="9">
      <t>ニンカ</t>
    </rPh>
    <rPh sb="9" eb="11">
      <t>セッテイ</t>
    </rPh>
    <phoneticPr fontId="3"/>
  </si>
  <si>
    <t>管理者サイトではユーザの種別が管理者ユーザと保守会社ユーザがあるが、</t>
    <rPh sb="12" eb="14">
      <t>シュベツ</t>
    </rPh>
    <phoneticPr fontId="3"/>
  </si>
  <si>
    <t>本システムにおいては区別せずNablarch認可チェックの標準スキーマで管理する。</t>
  </si>
  <si>
    <t>アクセスする権限に応じたグループ設定を行う。</t>
    <rPh sb="6" eb="8">
      <t>ケンゲン</t>
    </rPh>
    <rPh sb="9" eb="10">
      <t>オウ</t>
    </rPh>
    <rPh sb="16" eb="18">
      <t>セッテイ</t>
    </rPh>
    <rPh sb="19" eb="20">
      <t>オコナ</t>
    </rPh>
    <phoneticPr fontId="3"/>
  </si>
  <si>
    <t>管理者サイトのグループ設定例：</t>
    <rPh sb="11" eb="13">
      <t>セッテイ</t>
    </rPh>
    <rPh sb="13" eb="14">
      <t>レイ</t>
    </rPh>
    <phoneticPr fontId="3"/>
  </si>
  <si>
    <t>グループ名</t>
    <rPh sb="4" eb="5">
      <t>メイ</t>
    </rPh>
    <phoneticPr fontId="3"/>
  </si>
  <si>
    <t>概要</t>
    <rPh sb="0" eb="2">
      <t>ガイヨウ</t>
    </rPh>
    <phoneticPr fontId="3"/>
  </si>
  <si>
    <t>一般職</t>
    <rPh sb="0" eb="2">
      <t>イッパン</t>
    </rPh>
    <rPh sb="2" eb="3">
      <t>ショク</t>
    </rPh>
    <phoneticPr fontId="3"/>
  </si>
  <si>
    <t>役職軸でのグループ分け</t>
    <rPh sb="0" eb="2">
      <t>ヤクショク</t>
    </rPh>
    <rPh sb="2" eb="3">
      <t>ジク</t>
    </rPh>
    <rPh sb="9" eb="10">
      <t>ワ</t>
    </rPh>
    <phoneticPr fontId="3"/>
  </si>
  <si>
    <t>役職者</t>
    <rPh sb="0" eb="3">
      <t>ヤクショクシャ</t>
    </rPh>
    <phoneticPr fontId="3"/>
  </si>
  <si>
    <t>本部</t>
    <rPh sb="0" eb="2">
      <t>ホンブ</t>
    </rPh>
    <phoneticPr fontId="3"/>
  </si>
  <si>
    <t>事業部軸でのグループ分け</t>
    <rPh sb="0" eb="2">
      <t>ジギョウ</t>
    </rPh>
    <rPh sb="2" eb="3">
      <t>ブ</t>
    </rPh>
    <rPh sb="3" eb="4">
      <t>ジク</t>
    </rPh>
    <rPh sb="10" eb="11">
      <t>ワ</t>
    </rPh>
    <phoneticPr fontId="3"/>
  </si>
  <si>
    <t>支部</t>
    <rPh sb="0" eb="2">
      <t>シブ</t>
    </rPh>
    <phoneticPr fontId="3"/>
  </si>
  <si>
    <t>本部かつ役職者</t>
    <rPh sb="0" eb="2">
      <t>ホンブ</t>
    </rPh>
    <rPh sb="4" eb="7">
      <t>ヤクショクシャ</t>
    </rPh>
    <phoneticPr fontId="3"/>
  </si>
  <si>
    <t>役職軸、事業部軸の合成軸でのグループ分け</t>
    <rPh sb="0" eb="2">
      <t>ヤクショク</t>
    </rPh>
    <rPh sb="2" eb="3">
      <t>ジク</t>
    </rPh>
    <rPh sb="4" eb="6">
      <t>ジギョウ</t>
    </rPh>
    <rPh sb="6" eb="7">
      <t>ブ</t>
    </rPh>
    <rPh sb="7" eb="8">
      <t>ジク</t>
    </rPh>
    <rPh sb="9" eb="11">
      <t>ゴウセイ</t>
    </rPh>
    <rPh sb="11" eb="12">
      <t>ジク</t>
    </rPh>
    <rPh sb="18" eb="19">
      <t>ワ</t>
    </rPh>
    <phoneticPr fontId="3"/>
  </si>
  <si>
    <t>管理者サイトのリクエスト許可単位設定例：</t>
    <rPh sb="12" eb="14">
      <t>キョカ</t>
    </rPh>
    <rPh sb="14" eb="16">
      <t>タンイ</t>
    </rPh>
    <rPh sb="16" eb="18">
      <t>セッテイ</t>
    </rPh>
    <rPh sb="18" eb="19">
      <t>レイ</t>
    </rPh>
    <phoneticPr fontId="3"/>
  </si>
  <si>
    <t>リクエスト</t>
    <phoneticPr fontId="3"/>
  </si>
  <si>
    <t>許可グループ</t>
    <rPh sb="0" eb="2">
      <t>キョカ</t>
    </rPh>
    <phoneticPr fontId="3"/>
  </si>
  <si>
    <t>A</t>
    <phoneticPr fontId="3"/>
  </si>
  <si>
    <t>B</t>
    <phoneticPr fontId="3"/>
  </si>
  <si>
    <t>全てのグループ</t>
    <rPh sb="0" eb="1">
      <t>スベ</t>
    </rPh>
    <phoneticPr fontId="3"/>
  </si>
  <si>
    <t>C</t>
    <phoneticPr fontId="3"/>
  </si>
  <si>
    <t>D</t>
    <phoneticPr fontId="3"/>
  </si>
  <si>
    <t>管理者サイトのユーザ設定</t>
    <rPh sb="10" eb="12">
      <t>セッテイ</t>
    </rPh>
    <phoneticPr fontId="3"/>
  </si>
  <si>
    <t>ユーザ</t>
    <phoneticPr fontId="3"/>
  </si>
  <si>
    <t>所属グループ</t>
    <rPh sb="0" eb="2">
      <t>ショゾク</t>
    </rPh>
    <phoneticPr fontId="3"/>
  </si>
  <si>
    <t>X</t>
    <phoneticPr fontId="3"/>
  </si>
  <si>
    <t>本部, 役職者, 本部かつ役職者</t>
    <rPh sb="0" eb="2">
      <t>ホンブ</t>
    </rPh>
    <rPh sb="4" eb="7">
      <t>ヤクショクシャ</t>
    </rPh>
    <rPh sb="9" eb="11">
      <t>ホンブ</t>
    </rPh>
    <rPh sb="13" eb="16">
      <t>ヤクショクシャ</t>
    </rPh>
    <phoneticPr fontId="3"/>
  </si>
  <si>
    <t>Y</t>
    <phoneticPr fontId="3"/>
  </si>
  <si>
    <t>本部, 一般職</t>
    <rPh sb="0" eb="2">
      <t>ホンブ</t>
    </rPh>
    <rPh sb="4" eb="6">
      <t>イッパン</t>
    </rPh>
    <rPh sb="6" eb="7">
      <t>ショク</t>
    </rPh>
    <phoneticPr fontId="3"/>
  </si>
  <si>
    <t>Z</t>
    <phoneticPr fontId="3"/>
  </si>
  <si>
    <t>支部, 一般職</t>
    <rPh sb="0" eb="2">
      <t>シブ</t>
    </rPh>
    <rPh sb="4" eb="6">
      <t>イッパン</t>
    </rPh>
    <rPh sb="6" eb="7">
      <t>ショク</t>
    </rPh>
    <phoneticPr fontId="3"/>
  </si>
  <si>
    <t>上記の例で、ユーザに対して許可されるリクエストは以下のマトリックスになる。</t>
    <rPh sb="0" eb="2">
      <t>ジョウキ</t>
    </rPh>
    <rPh sb="3" eb="4">
      <t>レイ</t>
    </rPh>
    <rPh sb="10" eb="11">
      <t>タイ</t>
    </rPh>
    <rPh sb="13" eb="15">
      <t>キョカ</t>
    </rPh>
    <rPh sb="24" eb="26">
      <t>イカ</t>
    </rPh>
    <phoneticPr fontId="3"/>
  </si>
  <si>
    <t>○</t>
    <phoneticPr fontId="3"/>
  </si>
  <si>
    <t>×</t>
    <phoneticPr fontId="3"/>
  </si>
  <si>
    <t>○：許可</t>
    <rPh sb="2" eb="4">
      <t>キョカ</t>
    </rPh>
    <phoneticPr fontId="3"/>
  </si>
  <si>
    <t>×：不許可</t>
    <rPh sb="2" eb="5">
      <t>フキョカ</t>
    </rPh>
    <phoneticPr fontId="3"/>
  </si>
  <si>
    <t>データモデル</t>
    <phoneticPr fontId="3"/>
  </si>
  <si>
    <t>認証・認可の管理運用</t>
  </si>
  <si>
    <t>以下に認証・認可の管理運用指針をサイトごとにまとめる。</t>
    <rPh sb="0" eb="2">
      <t>イカ</t>
    </rPh>
    <rPh sb="3" eb="5">
      <t>ニンショウ</t>
    </rPh>
    <rPh sb="6" eb="8">
      <t>ニンカ</t>
    </rPh>
    <rPh sb="9" eb="11">
      <t>カンリ</t>
    </rPh>
    <rPh sb="11" eb="13">
      <t>ウンヨウ</t>
    </rPh>
    <rPh sb="13" eb="15">
      <t>シシン</t>
    </rPh>
    <phoneticPr fontId="3"/>
  </si>
  <si>
    <t>会員</t>
    <rPh sb="0" eb="2">
      <t>カイイン</t>
    </rPh>
    <phoneticPr fontId="3"/>
  </si>
  <si>
    <t>ユーザアカウント</t>
    <phoneticPr fontId="3"/>
  </si>
  <si>
    <t>登録</t>
    <rPh sb="0" eb="2">
      <t>トウロク</t>
    </rPh>
    <phoneticPr fontId="3"/>
  </si>
  <si>
    <t>会員申込機能を利用</t>
    <rPh sb="0" eb="2">
      <t>カイイン</t>
    </rPh>
    <rPh sb="2" eb="4">
      <t>モウシコミ</t>
    </rPh>
    <rPh sb="4" eb="6">
      <t>キノウ</t>
    </rPh>
    <rPh sb="7" eb="9">
      <t>リヨウ</t>
    </rPh>
    <phoneticPr fontId="3"/>
  </si>
  <si>
    <t>シングルサインオン用サイトと連携することによる自動登録</t>
    <rPh sb="14" eb="16">
      <t>レンケイ</t>
    </rPh>
    <rPh sb="23" eb="25">
      <t>ジドウ</t>
    </rPh>
    <rPh sb="25" eb="27">
      <t>トウロク</t>
    </rPh>
    <phoneticPr fontId="3"/>
  </si>
  <si>
    <t>機能なし（SEメンテ）</t>
    <rPh sb="0" eb="2">
      <t>キノウ</t>
    </rPh>
    <phoneticPr fontId="3"/>
  </si>
  <si>
    <t>参照</t>
    <rPh sb="0" eb="2">
      <t>サンショウ</t>
    </rPh>
    <phoneticPr fontId="3"/>
  </si>
  <si>
    <t>会員属性照会機能を利用</t>
    <rPh sb="4" eb="6">
      <t>ショウカイ</t>
    </rPh>
    <rPh sb="6" eb="8">
      <t>キノウ</t>
    </rPh>
    <rPh sb="9" eb="11">
      <t>リヨウ</t>
    </rPh>
    <phoneticPr fontId="3"/>
  </si>
  <si>
    <t>更新</t>
    <rPh sb="0" eb="2">
      <t>コウシン</t>
    </rPh>
    <phoneticPr fontId="3"/>
  </si>
  <si>
    <t>会員属性変更機能を利用</t>
    <rPh sb="6" eb="8">
      <t>キノウ</t>
    </rPh>
    <rPh sb="9" eb="11">
      <t>リヨウ</t>
    </rPh>
    <phoneticPr fontId="3"/>
  </si>
  <si>
    <t>削除</t>
    <rPh sb="0" eb="2">
      <t>サクジョ</t>
    </rPh>
    <phoneticPr fontId="3"/>
  </si>
  <si>
    <t>会員退会機能を利用</t>
    <rPh sb="4" eb="6">
      <t>キノウ</t>
    </rPh>
    <rPh sb="7" eb="9">
      <t>リヨウ</t>
    </rPh>
    <phoneticPr fontId="3"/>
  </si>
  <si>
    <t>パスワードの変更</t>
    <rPh sb="6" eb="8">
      <t>ヘンコウ</t>
    </rPh>
    <phoneticPr fontId="3"/>
  </si>
  <si>
    <t>機能なし（シングルサインオン用サイトと同期）</t>
    <rPh sb="0" eb="2">
      <t>キノウ</t>
    </rPh>
    <rPh sb="19" eb="21">
      <t>ドウキ</t>
    </rPh>
    <phoneticPr fontId="3"/>
  </si>
  <si>
    <t>ロックアカウントの解除</t>
    <rPh sb="9" eb="11">
      <t>カイジョ</t>
    </rPh>
    <phoneticPr fontId="3"/>
  </si>
  <si>
    <t>会員パスワード忘れ機能にて解除</t>
    <rPh sb="13" eb="15">
      <t>カイジョ</t>
    </rPh>
    <phoneticPr fontId="3"/>
  </si>
  <si>
    <t>ロックされることがない</t>
    <phoneticPr fontId="3"/>
  </si>
  <si>
    <t>30分経過後、自動解除</t>
    <rPh sb="2" eb="3">
      <t>プン</t>
    </rPh>
    <rPh sb="3" eb="5">
      <t>ケイカ</t>
    </rPh>
    <rPh sb="5" eb="6">
      <t>ゴ</t>
    </rPh>
    <rPh sb="7" eb="9">
      <t>ジドウ</t>
    </rPh>
    <rPh sb="9" eb="11">
      <t>カイジョ</t>
    </rPh>
    <phoneticPr fontId="3"/>
  </si>
  <si>
    <t>認可単位</t>
    <rPh sb="0" eb="2">
      <t>ニンカ</t>
    </rPh>
    <rPh sb="2" eb="4">
      <t>タンイ</t>
    </rPh>
    <phoneticPr fontId="3"/>
  </si>
  <si>
    <t>SEメンテ</t>
    <phoneticPr fontId="3"/>
  </si>
  <si>
    <t>(3).2.</t>
    <phoneticPr fontId="3"/>
  </si>
  <si>
    <t>以下にAPIキー認証方式に関したデータモデルを記す。</t>
    <rPh sb="0" eb="2">
      <t>イカ</t>
    </rPh>
    <rPh sb="8" eb="10">
      <t>ニンショウ</t>
    </rPh>
    <rPh sb="10" eb="12">
      <t>ホウシキ</t>
    </rPh>
    <rPh sb="13" eb="14">
      <t>カン</t>
    </rPh>
    <rPh sb="23" eb="24">
      <t>シル</t>
    </rPh>
    <phoneticPr fontId="3"/>
  </si>
  <si>
    <t>(3).3.</t>
    <phoneticPr fontId="3"/>
  </si>
  <si>
    <t>(3).3.1.</t>
    <phoneticPr fontId="3"/>
  </si>
  <si>
    <t>APIキーのメンテナンス</t>
    <phoneticPr fontId="3"/>
  </si>
  <si>
    <t>システムによるAPIキーの登録・更新・削除などの機能は提供しない。</t>
    <rPh sb="13" eb="15">
      <t>トウロク</t>
    </rPh>
    <rPh sb="16" eb="18">
      <t>コウシン</t>
    </rPh>
    <rPh sb="19" eb="21">
      <t>サクジョ</t>
    </rPh>
    <rPh sb="24" eb="26">
      <t>キノウ</t>
    </rPh>
    <rPh sb="27" eb="29">
      <t>テイキョウ</t>
    </rPh>
    <phoneticPr fontId="3"/>
  </si>
  <si>
    <t>業務要件により、APIキー認証方式を採用する。</t>
  </si>
  <si>
    <t>連携元システムに発行するAPIキーはSE作業によりメンテナンスされる。</t>
    <rPh sb="0" eb="3">
      <t>レンケイモト</t>
    </rPh>
    <rPh sb="8" eb="10">
      <t>ハッコウ</t>
    </rPh>
    <rPh sb="20" eb="22">
      <t>サギョウ</t>
    </rPh>
    <phoneticPr fontId="3"/>
  </si>
  <si>
    <t>REST APIで提供する機能には認可に関する要件がないため。</t>
    <phoneticPr fontId="3"/>
  </si>
  <si>
    <t>APIキー</t>
    <phoneticPr fontId="3"/>
  </si>
  <si>
    <t>認可単位</t>
    <rPh sb="0" eb="4">
      <t>ニンカタンイ</t>
    </rPh>
    <phoneticPr fontId="3"/>
  </si>
  <si>
    <t>機能なし(SEメンテ)</t>
    <rPh sb="0" eb="2">
      <t>キノウ</t>
    </rPh>
    <phoneticPr fontId="3"/>
  </si>
  <si>
    <t>機能なし</t>
    <rPh sb="0" eb="2">
      <t>キノウ</t>
    </rPh>
    <phoneticPr fontId="3"/>
  </si>
  <si>
    <t>また、REST APIの認証・認可の管理運用指針を以下にまとめる。</t>
    <rPh sb="12" eb="14">
      <t>ニンショウ</t>
    </rPh>
    <rPh sb="15" eb="17">
      <t>ニンカ</t>
    </rPh>
    <rPh sb="18" eb="20">
      <t>カンリ</t>
    </rPh>
    <rPh sb="20" eb="22">
      <t>ウンヨウ</t>
    </rPh>
    <rPh sb="22" eb="24">
      <t>シシン</t>
    </rPh>
    <rPh sb="25" eb="27">
      <t>イカ</t>
    </rPh>
    <phoneticPr fontId="3"/>
  </si>
  <si>
    <t>連携元システム</t>
    <phoneticPr fontId="3"/>
  </si>
  <si>
    <t>https://nablarch.github.io/docs/6u2/doc/application_framework/application_framework/libraries/permission_check.html</t>
    <phoneticPr fontId="3"/>
  </si>
  <si>
    <t>Nablarchの認可チェックの詳細に関しては、下記Nablarchガイドの【認可チェック】を参照のこと。</t>
    <rPh sb="9" eb="11">
      <t>ニンカ</t>
    </rPh>
    <rPh sb="16" eb="18">
      <t>ショウサイ</t>
    </rPh>
    <rPh sb="19" eb="20">
      <t>カン</t>
    </rPh>
    <rPh sb="24" eb="26">
      <t>カキ</t>
    </rPh>
    <rPh sb="47" eb="49">
      <t>サンショウ</t>
    </rPh>
    <phoneticPr fontId="3"/>
  </si>
  <si>
    <t>連携元システムに対してAPIキーを払い出し、REST API使用時に</t>
    <phoneticPr fontId="3"/>
  </si>
  <si>
    <t>APIキー認証を行う。</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</si>
</sst>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0" x14ac:knownFonts="1">
    <font>
      <sz val="11"/>
      <color theme="1"/>
      <name val="ＭＳ Ｐゴシック"/>
      <family val="2"/>
      <scheme val="minor"/>
    </font>
    <font>
      <sz val="11"/>
      <color theme="1"/>
      <name val="ＭＳ Ｐゴシック"/>
      <family val="2"/>
      <charset val="128"/>
      <scheme val="minor"/>
    </font>
    <font>
      <sz val="9"/>
      <name val="ＭＳ 明朝"/>
      <family val="1"/>
      <charset val="128"/>
    </font>
    <font>
      <sz val="6"/>
      <name val="ＭＳ Ｐゴシック"/>
      <family val="3"/>
      <charset val="128"/>
      <scheme val="minor"/>
    </font>
    <font>
      <sz val="9"/>
      <color theme="1"/>
      <name val="ＭＳ 明朝"/>
      <family val="1"/>
      <charset val="128"/>
    </font>
    <font>
      <sz val="6"/>
      <name val="ＭＳ Ｐゴシック"/>
      <family val="2"/>
      <charset val="128"/>
      <scheme val="minor"/>
    </font>
    <font>
      <sz val="6"/>
      <name val="ＭＳ 明朝"/>
      <family val="1"/>
      <charset val="128"/>
    </font>
    <font>
      <b/>
      <sz val="9"/>
      <color theme="1"/>
      <name val="ＭＳ 明朝"/>
      <family val="1"/>
      <charset val="128"/>
    </font>
    <font>
      <u/>
      <sz val="11"/>
      <color theme="10"/>
      <name val="ＭＳ Ｐゴシック"/>
      <family val="2"/>
      <scheme val="minor"/>
    </font>
    <font>
      <u/>
      <sz val="9"/>
      <color theme="10"/>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theme="8" tint="0.7999816888943144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2" fillId="0" borderId="0"/>
    <xf numFmtId="0" fontId="2" fillId="0" borderId="0"/>
    <xf numFmtId="0" fontId="2" fillId="0" borderId="0"/>
    <xf numFmtId="0" fontId="1" fillId="0" borderId="0">
      <alignment vertical="center"/>
    </xf>
    <xf numFmtId="0" fontId="8" fillId="0" borderId="0" applyNumberFormat="0" applyFill="0" applyBorder="0" applyAlignment="0" applyProtection="0"/>
  </cellStyleXfs>
  <cellXfs count="109">
    <xf numFmtId="0" fontId="0" fillId="0" borderId="0" xfId="0"/>
    <xf numFmtId="0" fontId="2" fillId="2" borderId="1" xfId="1" applyFill="1" applyBorder="1" applyAlignment="1">
      <alignment vertical="center"/>
    </xf>
    <xf numFmtId="0" fontId="2" fillId="2" borderId="2" xfId="1" applyFill="1" applyBorder="1" applyAlignment="1">
      <alignment vertical="center"/>
    </xf>
    <xf numFmtId="0" fontId="2" fillId="2" borderId="3" xfId="1" applyFill="1" applyBorder="1" applyAlignment="1">
      <alignment vertical="center"/>
    </xf>
    <xf numFmtId="0" fontId="4" fillId="0" borderId="0" xfId="4" applyFont="1">
      <alignment vertical="center"/>
    </xf>
    <xf numFmtId="0" fontId="2" fillId="2" borderId="4" xfId="1" applyFill="1" applyBorder="1" applyAlignment="1">
      <alignment vertical="center"/>
    </xf>
    <xf numFmtId="0" fontId="2" fillId="2" borderId="5" xfId="1" applyFill="1" applyBorder="1" applyAlignment="1">
      <alignment vertical="center"/>
    </xf>
    <xf numFmtId="0" fontId="2" fillId="2" borderId="6" xfId="1" applyFill="1" applyBorder="1" applyAlignment="1">
      <alignment vertical="center"/>
    </xf>
    <xf numFmtId="0" fontId="2" fillId="2" borderId="7" xfId="1" applyFill="1" applyBorder="1" applyAlignment="1">
      <alignment vertical="center"/>
    </xf>
    <xf numFmtId="0" fontId="2" fillId="2" borderId="8" xfId="1" applyFill="1" applyBorder="1" applyAlignment="1">
      <alignment vertical="center"/>
    </xf>
    <xf numFmtId="0" fontId="2" fillId="2" borderId="2" xfId="1" quotePrefix="1" applyFill="1" applyBorder="1" applyAlignment="1">
      <alignment vertical="center"/>
    </xf>
    <xf numFmtId="49" fontId="2" fillId="2" borderId="2" xfId="1" applyNumberFormat="1" applyFill="1" applyBorder="1" applyAlignment="1">
      <alignment vertical="center"/>
    </xf>
    <xf numFmtId="0" fontId="2" fillId="2" borderId="10" xfId="1" applyFill="1" applyBorder="1" applyAlignment="1">
      <alignment vertical="center"/>
    </xf>
    <xf numFmtId="0" fontId="2" fillId="2" borderId="11" xfId="1" applyFill="1" applyBorder="1" applyAlignment="1">
      <alignment vertical="center"/>
    </xf>
    <xf numFmtId="0" fontId="2" fillId="2" borderId="12" xfId="1" applyFill="1" applyBorder="1" applyAlignment="1">
      <alignment vertical="center"/>
    </xf>
    <xf numFmtId="0" fontId="4" fillId="0" borderId="0" xfId="4" quotePrefix="1" applyFont="1" applyAlignment="1">
      <alignment horizontal="right" vertical="center"/>
    </xf>
    <xf numFmtId="0" fontId="4" fillId="3" borderId="1" xfId="0" applyFont="1" applyFill="1" applyBorder="1" applyAlignment="1">
      <alignment vertical="center"/>
    </xf>
    <xf numFmtId="0" fontId="4" fillId="3" borderId="2" xfId="0" applyFont="1" applyFill="1" applyBorder="1" applyAlignment="1">
      <alignment vertical="center"/>
    </xf>
    <xf numFmtId="0" fontId="4" fillId="3" borderId="3" xfId="0" applyFont="1" applyFill="1" applyBorder="1" applyAlignment="1">
      <alignment vertical="center"/>
    </xf>
    <xf numFmtId="0" fontId="4" fillId="0" borderId="0" xfId="4" quotePrefix="1" applyFont="1">
      <alignment vertical="center"/>
    </xf>
    <xf numFmtId="0" fontId="7" fillId="0" borderId="0" xfId="4" applyFont="1">
      <alignment vertical="center"/>
    </xf>
    <xf numFmtId="0" fontId="4" fillId="3" borderId="4" xfId="4" applyFont="1" applyFill="1" applyBorder="1">
      <alignment vertical="center"/>
    </xf>
    <xf numFmtId="0" fontId="4" fillId="3" borderId="5" xfId="4" applyFont="1" applyFill="1" applyBorder="1">
      <alignment vertical="center"/>
    </xf>
    <xf numFmtId="0" fontId="4" fillId="3" borderId="6" xfId="4" applyFont="1" applyFill="1" applyBorder="1">
      <alignment vertical="center"/>
    </xf>
    <xf numFmtId="0" fontId="4" fillId="3" borderId="10" xfId="4" applyFont="1" applyFill="1" applyBorder="1">
      <alignment vertical="center"/>
    </xf>
    <xf numFmtId="0" fontId="4" fillId="3" borderId="11" xfId="4" applyFont="1" applyFill="1" applyBorder="1">
      <alignment vertical="center"/>
    </xf>
    <xf numFmtId="0" fontId="4" fillId="3" borderId="12" xfId="4" applyFont="1" applyFill="1" applyBorder="1">
      <alignment vertical="center"/>
    </xf>
    <xf numFmtId="0" fontId="4" fillId="0" borderId="7" xfId="4" applyFont="1" applyBorder="1">
      <alignment vertical="center"/>
    </xf>
    <xf numFmtId="0" fontId="4" fillId="0" borderId="8" xfId="4" applyFont="1" applyBorder="1">
      <alignment vertical="center"/>
    </xf>
    <xf numFmtId="0" fontId="4" fillId="0" borderId="10" xfId="4" applyFont="1" applyBorder="1">
      <alignment vertical="center"/>
    </xf>
    <xf numFmtId="0" fontId="4" fillId="0" borderId="11" xfId="4" applyFont="1" applyBorder="1">
      <alignment vertical="center"/>
    </xf>
    <xf numFmtId="0" fontId="4" fillId="0" borderId="12" xfId="4" applyFont="1" applyBorder="1">
      <alignment vertical="center"/>
    </xf>
    <xf numFmtId="0" fontId="4" fillId="0" borderId="5" xfId="4" applyFont="1" applyBorder="1">
      <alignment vertical="center"/>
    </xf>
    <xf numFmtId="0" fontId="4" fillId="0" borderId="6" xfId="4" applyFont="1" applyBorder="1">
      <alignment vertical="center"/>
    </xf>
    <xf numFmtId="0" fontId="4" fillId="3" borderId="9" xfId="4" applyFont="1" applyFill="1" applyBorder="1" applyAlignment="1">
      <alignment horizontal="center" vertical="center"/>
    </xf>
    <xf numFmtId="0" fontId="4" fillId="3" borderId="9" xfId="4" applyFont="1" applyFill="1" applyBorder="1">
      <alignment vertical="center"/>
    </xf>
    <xf numFmtId="0" fontId="4" fillId="0" borderId="9" xfId="4" applyFont="1" applyBorder="1" applyAlignment="1">
      <alignment horizontal="center" vertical="center"/>
    </xf>
    <xf numFmtId="0" fontId="4" fillId="0" borderId="0" xfId="4" applyFont="1" applyAlignment="1">
      <alignment horizontal="center" vertical="center"/>
    </xf>
    <xf numFmtId="0" fontId="4" fillId="0" borderId="4" xfId="4" applyFont="1" applyBorder="1">
      <alignment vertical="center"/>
    </xf>
    <xf numFmtId="0" fontId="4" fillId="0" borderId="0" xfId="4" applyFont="1" applyBorder="1">
      <alignment vertical="center"/>
    </xf>
    <xf numFmtId="0" fontId="4" fillId="3" borderId="1" xfId="4" applyFont="1" applyFill="1" applyBorder="1">
      <alignment vertical="center"/>
    </xf>
    <xf numFmtId="0" fontId="4" fillId="3" borderId="2" xfId="4" applyFont="1" applyFill="1" applyBorder="1">
      <alignment vertical="center"/>
    </xf>
    <xf numFmtId="0" fontId="4" fillId="3" borderId="3" xfId="4" applyFont="1" applyFill="1" applyBorder="1">
      <alignment vertical="center"/>
    </xf>
    <xf numFmtId="0" fontId="4" fillId="3" borderId="7" xfId="4" applyFont="1" applyFill="1" applyBorder="1">
      <alignment vertical="center"/>
    </xf>
    <xf numFmtId="0" fontId="4" fillId="3" borderId="0" xfId="4" applyFont="1" applyFill="1" applyBorder="1">
      <alignment vertical="center"/>
    </xf>
    <xf numFmtId="0" fontId="4" fillId="3" borderId="8" xfId="4" applyFont="1" applyFill="1" applyBorder="1">
      <alignment vertical="center"/>
    </xf>
    <xf numFmtId="0" fontId="9" fillId="0" borderId="0" xfId="5" applyFont="1" applyAlignment="1">
      <alignment vertical="center"/>
    </xf>
    <xf numFmtId="0" fontId="4" fillId="3" borderId="9" xfId="4" applyFont="1" applyFill="1" applyBorder="1" applyAlignment="1">
      <alignment horizontal="center" vertical="center"/>
    </xf>
    <xf numFmtId="0" fontId="4" fillId="3" borderId="9" xfId="4" applyFont="1" applyFill="1" applyBorder="1" applyAlignment="1">
      <alignment horizontal="center" vertical="center" textRotation="255"/>
    </xf>
    <xf numFmtId="0" fontId="4" fillId="0" borderId="9" xfId="4" applyFont="1" applyBorder="1" applyAlignment="1">
      <alignment vertical="center"/>
    </xf>
    <xf numFmtId="0" fontId="4" fillId="3" borderId="9" xfId="4" applyFont="1" applyFill="1" applyBorder="1" applyAlignment="1">
      <alignment vertical="center"/>
    </xf>
    <xf numFmtId="0" fontId="4" fillId="0" borderId="4" xfId="4" applyFont="1" applyBorder="1" applyAlignment="1">
      <alignment vertical="center"/>
    </xf>
    <xf numFmtId="0" fontId="4" fillId="0" borderId="5" xfId="4" applyFont="1" applyBorder="1" applyAlignment="1">
      <alignment vertical="center"/>
    </xf>
    <xf numFmtId="0" fontId="4" fillId="0" borderId="6" xfId="4" applyFont="1" applyBorder="1" applyAlignment="1">
      <alignment vertical="center"/>
    </xf>
    <xf numFmtId="0" fontId="4" fillId="0" borderId="7" xfId="4" applyFont="1" applyBorder="1" applyAlignment="1">
      <alignment vertical="center"/>
    </xf>
    <xf numFmtId="0" fontId="4" fillId="0" borderId="0" xfId="4" applyFont="1" applyAlignment="1">
      <alignment vertical="center"/>
    </xf>
    <xf numFmtId="0" fontId="4" fillId="0" borderId="8" xfId="4" applyFont="1" applyBorder="1" applyAlignment="1">
      <alignment vertical="center"/>
    </xf>
    <xf numFmtId="0" fontId="4" fillId="0" borderId="10" xfId="4" applyFont="1" applyBorder="1" applyAlignment="1">
      <alignment vertical="center"/>
    </xf>
    <xf numFmtId="0" fontId="4" fillId="0" borderId="11" xfId="4" applyFont="1" applyBorder="1" applyAlignment="1">
      <alignment vertical="center"/>
    </xf>
    <xf numFmtId="0" fontId="4" fillId="0" borderId="12" xfId="4" applyFont="1" applyBorder="1" applyAlignment="1">
      <alignment vertical="center"/>
    </xf>
    <xf numFmtId="0" fontId="4" fillId="0" borderId="1" xfId="4" applyFont="1" applyBorder="1" applyAlignment="1">
      <alignment vertical="center"/>
    </xf>
    <xf numFmtId="0" fontId="4" fillId="0" borderId="2" xfId="4" applyFont="1" applyBorder="1" applyAlignment="1">
      <alignment vertical="center"/>
    </xf>
    <xf numFmtId="0" fontId="4" fillId="0" borderId="3" xfId="4" applyFont="1" applyBorder="1" applyAlignment="1">
      <alignment vertical="center"/>
    </xf>
    <xf numFmtId="0" fontId="4" fillId="0" borderId="1" xfId="4" applyFont="1" applyBorder="1" applyAlignment="1">
      <alignment vertical="center" wrapText="1"/>
    </xf>
    <xf numFmtId="0" fontId="4" fillId="0" borderId="2" xfId="4" applyFont="1" applyBorder="1" applyAlignment="1">
      <alignment vertical="center" wrapText="1"/>
    </xf>
    <xf numFmtId="0" fontId="4" fillId="0" borderId="3" xfId="4" applyFont="1" applyBorder="1" applyAlignment="1">
      <alignment vertical="center" wrapText="1"/>
    </xf>
    <xf numFmtId="0" fontId="4" fillId="3" borderId="1" xfId="4" applyFont="1" applyFill="1" applyBorder="1" applyAlignment="1">
      <alignment horizontal="center" vertical="center"/>
    </xf>
    <xf numFmtId="0" fontId="4" fillId="3" borderId="2" xfId="4" applyFont="1" applyFill="1" applyBorder="1" applyAlignment="1">
      <alignment horizontal="center" vertical="center"/>
    </xf>
    <xf numFmtId="0" fontId="4" fillId="3" borderId="3" xfId="4" applyFont="1" applyFill="1" applyBorder="1" applyAlignment="1">
      <alignment horizontal="center" vertical="center"/>
    </xf>
    <xf numFmtId="0" fontId="4" fillId="3" borderId="1" xfId="4" applyFont="1" applyFill="1" applyBorder="1" applyAlignment="1">
      <alignment vertical="center"/>
    </xf>
    <xf numFmtId="0" fontId="4" fillId="3" borderId="2" xfId="4" applyFont="1" applyFill="1" applyBorder="1" applyAlignment="1">
      <alignment vertical="center"/>
    </xf>
    <xf numFmtId="0" fontId="4" fillId="3" borderId="3" xfId="4" applyFont="1" applyFill="1" applyBorder="1" applyAlignment="1">
      <alignment vertical="center"/>
    </xf>
    <xf numFmtId="0" fontId="4" fillId="0" borderId="4" xfId="4" applyFont="1" applyBorder="1" applyAlignment="1">
      <alignment vertical="center" wrapText="1"/>
    </xf>
    <xf numFmtId="0" fontId="4" fillId="0" borderId="5" xfId="4" applyFont="1" applyBorder="1" applyAlignment="1">
      <alignment vertical="center" wrapText="1"/>
    </xf>
    <xf numFmtId="0" fontId="4" fillId="0" borderId="6" xfId="4" applyFont="1" applyBorder="1" applyAlignment="1">
      <alignment vertical="center" wrapText="1"/>
    </xf>
    <xf numFmtId="0" fontId="4" fillId="0" borderId="7" xfId="4" applyFont="1" applyBorder="1" applyAlignment="1">
      <alignment vertical="center" wrapText="1"/>
    </xf>
    <xf numFmtId="0" fontId="4" fillId="0" borderId="0" xfId="4" applyFont="1" applyAlignment="1">
      <alignment vertical="center" wrapText="1"/>
    </xf>
    <xf numFmtId="0" fontId="4" fillId="0" borderId="8" xfId="4" applyFont="1" applyBorder="1" applyAlignment="1">
      <alignment vertical="center" wrapText="1"/>
    </xf>
    <xf numFmtId="0" fontId="4" fillId="0" borderId="10" xfId="4" applyFont="1" applyBorder="1" applyAlignment="1">
      <alignment vertical="center" wrapText="1"/>
    </xf>
    <xf numFmtId="0" fontId="4" fillId="0" borderId="11" xfId="4" applyFont="1" applyBorder="1" applyAlignment="1">
      <alignment vertical="center" wrapText="1"/>
    </xf>
    <xf numFmtId="0" fontId="4" fillId="0" borderId="12" xfId="4" applyFont="1" applyBorder="1" applyAlignment="1">
      <alignment vertical="center" wrapText="1"/>
    </xf>
    <xf numFmtId="0" fontId="4" fillId="3" borderId="4" xfId="4" applyFont="1" applyFill="1" applyBorder="1" applyAlignment="1">
      <alignment vertical="center"/>
    </xf>
    <xf numFmtId="0" fontId="4" fillId="3" borderId="5" xfId="4" applyFont="1" applyFill="1" applyBorder="1" applyAlignment="1">
      <alignment vertical="center"/>
    </xf>
    <xf numFmtId="0" fontId="4" fillId="3" borderId="6" xfId="4" applyFont="1" applyFill="1" applyBorder="1" applyAlignment="1">
      <alignment vertical="center"/>
    </xf>
    <xf numFmtId="0" fontId="4" fillId="3" borderId="7" xfId="4" applyFont="1" applyFill="1" applyBorder="1" applyAlignment="1">
      <alignment vertical="center"/>
    </xf>
    <xf numFmtId="0" fontId="4" fillId="3" borderId="0" xfId="4" applyFont="1" applyFill="1" applyAlignment="1">
      <alignment vertical="center"/>
    </xf>
    <xf numFmtId="0" fontId="4" fillId="3" borderId="8" xfId="4" applyFont="1" applyFill="1" applyBorder="1" applyAlignment="1">
      <alignment vertical="center"/>
    </xf>
    <xf numFmtId="0" fontId="4" fillId="3" borderId="10" xfId="4" applyFont="1" applyFill="1" applyBorder="1" applyAlignment="1">
      <alignment vertical="center"/>
    </xf>
    <xf numFmtId="0" fontId="4" fillId="3" borderId="11" xfId="4" applyFont="1" applyFill="1" applyBorder="1" applyAlignment="1">
      <alignment vertical="center"/>
    </xf>
    <xf numFmtId="0" fontId="4" fillId="3" borderId="12" xfId="4" applyFont="1" applyFill="1" applyBorder="1" applyAlignment="1">
      <alignment vertical="center"/>
    </xf>
    <xf numFmtId="176" fontId="2" fillId="0" borderId="1" xfId="3" applyNumberFormat="1" applyBorder="1" applyAlignment="1">
      <alignment horizontal="right" vertical="center"/>
    </xf>
    <xf numFmtId="176" fontId="2" fillId="0" borderId="2" xfId="3" applyNumberFormat="1" applyBorder="1" applyAlignment="1">
      <alignment horizontal="right" vertical="center"/>
    </xf>
    <xf numFmtId="176" fontId="2" fillId="0" borderId="3" xfId="3" applyNumberForma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2" fillId="0" borderId="1" xfId="1" applyNumberFormat="1" applyBorder="1" applyAlignment="1">
      <alignment horizontal="left" vertical="center"/>
    </xf>
    <xf numFmtId="14" fontId="2" fillId="0" borderId="2" xfId="1" applyNumberFormat="1" applyBorder="1" applyAlignment="1">
      <alignment horizontal="left" vertical="center"/>
    </xf>
    <xf numFmtId="14" fontId="2" fillId="0" borderId="3" xfId="1" applyNumberFormat="1" applyBorder="1" applyAlignment="1">
      <alignment horizontal="lef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Border="1" applyAlignment="1">
      <alignment horizontal="left" vertical="center"/>
    </xf>
  </cellXfs>
  <cellStyles count="6">
    <cellStyle name="ハイパーリンク" xfId="5" builtinId="8"/>
    <cellStyle name="標準" xfId="0" builtinId="0"/>
    <cellStyle name="標準 2" xfId="4" xr:uid="{00000000-0005-0000-0000-000001000000}"/>
    <cellStyle name="標準 3 2 3" xfId="3" xr:uid="{00000000-0005-0000-0000-000002000000}"/>
    <cellStyle name="標準_画面標準" xfId="1" xr:uid="{00000000-0005-0000-0000-000003000000}"/>
    <cellStyle name="標準_画面標準定義" xfId="2" xr:uid="{00000000-0005-0000-0000-000004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127000</xdr:colOff>
      <xdr:row>54</xdr:row>
      <xdr:rowOff>133350</xdr:rowOff>
    </xdr:from>
    <xdr:to>
      <xdr:col>19</xdr:col>
      <xdr:colOff>209550</xdr:colOff>
      <xdr:row>64</xdr:row>
      <xdr:rowOff>88900</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1905000" y="6534150"/>
          <a:ext cx="3130550" cy="13525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ログイン時の認証処理のシーケンスを追記</a:t>
          </a:r>
        </a:p>
      </xdr:txBody>
    </xdr:sp>
    <xdr:clientData/>
  </xdr:twoCellAnchor>
  <xdr:twoCellAnchor>
    <xdr:from>
      <xdr:col>7</xdr:col>
      <xdr:colOff>95250</xdr:colOff>
      <xdr:row>72</xdr:row>
      <xdr:rowOff>63500</xdr:rowOff>
    </xdr:from>
    <xdr:to>
      <xdr:col>19</xdr:col>
      <xdr:colOff>177800</xdr:colOff>
      <xdr:row>82</xdr:row>
      <xdr:rowOff>19050</xdr:rowOff>
    </xdr:to>
    <xdr:sp macro="" textlink="">
      <xdr:nvSpPr>
        <xdr:cNvPr id="14" name="正方形/長方形 13">
          <a:extLst>
            <a:ext uri="{FF2B5EF4-FFF2-40B4-BE49-F238E27FC236}">
              <a16:creationId xmlns:a16="http://schemas.microsoft.com/office/drawing/2014/main" id="{00000000-0008-0000-0000-00000E000000}"/>
            </a:ext>
          </a:extLst>
        </xdr:cNvPr>
        <xdr:cNvSpPr/>
      </xdr:nvSpPr>
      <xdr:spPr>
        <a:xfrm>
          <a:off x="1873250" y="8978900"/>
          <a:ext cx="3130550" cy="13525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認証処理のシーケンスを追記</a:t>
          </a:r>
        </a:p>
      </xdr:txBody>
    </xdr:sp>
    <xdr:clientData/>
  </xdr:twoCellAnchor>
  <xdr:twoCellAnchor>
    <xdr:from>
      <xdr:col>7</xdr:col>
      <xdr:colOff>25400</xdr:colOff>
      <xdr:row>88</xdr:row>
      <xdr:rowOff>69850</xdr:rowOff>
    </xdr:from>
    <xdr:to>
      <xdr:col>19</xdr:col>
      <xdr:colOff>107950</xdr:colOff>
      <xdr:row>98</xdr:row>
      <xdr:rowOff>25400</xdr:rowOff>
    </xdr:to>
    <xdr:sp macro="" textlink="">
      <xdr:nvSpPr>
        <xdr:cNvPr id="17" name="正方形/長方形 16">
          <a:extLst>
            <a:ext uri="{FF2B5EF4-FFF2-40B4-BE49-F238E27FC236}">
              <a16:creationId xmlns:a16="http://schemas.microsoft.com/office/drawing/2014/main" id="{00000000-0008-0000-0000-000011000000}"/>
            </a:ext>
          </a:extLst>
        </xdr:cNvPr>
        <xdr:cNvSpPr/>
      </xdr:nvSpPr>
      <xdr:spPr>
        <a:xfrm>
          <a:off x="1803400" y="11220450"/>
          <a:ext cx="3130550" cy="13525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データモデルを追記</a:t>
          </a:r>
        </a:p>
      </xdr:txBody>
    </xdr:sp>
    <xdr:clientData/>
  </xdr:twoCellAnchor>
  <xdr:twoCellAnchor>
    <xdr:from>
      <xdr:col>7</xdr:col>
      <xdr:colOff>0</xdr:colOff>
      <xdr:row>131</xdr:row>
      <xdr:rowOff>0</xdr:rowOff>
    </xdr:from>
    <xdr:to>
      <xdr:col>19</xdr:col>
      <xdr:colOff>82550</xdr:colOff>
      <xdr:row>140</xdr:row>
      <xdr:rowOff>95250</xdr:rowOff>
    </xdr:to>
    <xdr:sp macro="" textlink="">
      <xdr:nvSpPr>
        <xdr:cNvPr id="18" name="正方形/長方形 17">
          <a:extLst>
            <a:ext uri="{FF2B5EF4-FFF2-40B4-BE49-F238E27FC236}">
              <a16:creationId xmlns:a16="http://schemas.microsoft.com/office/drawing/2014/main" id="{00000000-0008-0000-0000-000012000000}"/>
            </a:ext>
          </a:extLst>
        </xdr:cNvPr>
        <xdr:cNvSpPr/>
      </xdr:nvSpPr>
      <xdr:spPr>
        <a:xfrm>
          <a:off x="1778000" y="17018000"/>
          <a:ext cx="3130550" cy="13525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認証処理シーケンスを追記</a:t>
          </a:r>
        </a:p>
      </xdr:txBody>
    </xdr:sp>
    <xdr:clientData/>
  </xdr:twoCellAnchor>
  <xdr:twoCellAnchor>
    <xdr:from>
      <xdr:col>7</xdr:col>
      <xdr:colOff>6350</xdr:colOff>
      <xdr:row>147</xdr:row>
      <xdr:rowOff>12700</xdr:rowOff>
    </xdr:from>
    <xdr:to>
      <xdr:col>19</xdr:col>
      <xdr:colOff>88900</xdr:colOff>
      <xdr:row>156</xdr:row>
      <xdr:rowOff>107950</xdr:rowOff>
    </xdr:to>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1784350" y="19265900"/>
          <a:ext cx="3130550" cy="13525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認証処理シーケンスを追記</a:t>
          </a:r>
        </a:p>
      </xdr:txBody>
    </xdr:sp>
    <xdr:clientData/>
  </xdr:twoCellAnchor>
  <xdr:twoCellAnchor>
    <xdr:from>
      <xdr:col>6</xdr:col>
      <xdr:colOff>247650</xdr:colOff>
      <xdr:row>162</xdr:row>
      <xdr:rowOff>31750</xdr:rowOff>
    </xdr:from>
    <xdr:to>
      <xdr:col>19</xdr:col>
      <xdr:colOff>76200</xdr:colOff>
      <xdr:row>171</xdr:row>
      <xdr:rowOff>127000</xdr:rowOff>
    </xdr:to>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1771650" y="21380450"/>
          <a:ext cx="3130550" cy="13525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データモデルを追記</a:t>
          </a:r>
        </a:p>
      </xdr:txBody>
    </xdr:sp>
    <xdr:clientData/>
  </xdr:twoCellAnchor>
  <xdr:twoCellAnchor>
    <xdr:from>
      <xdr:col>6</xdr:col>
      <xdr:colOff>57150</xdr:colOff>
      <xdr:row>363</xdr:row>
      <xdr:rowOff>19050</xdr:rowOff>
    </xdr:from>
    <xdr:to>
      <xdr:col>16</xdr:col>
      <xdr:colOff>203200</xdr:colOff>
      <xdr:row>371</xdr:row>
      <xdr:rowOff>133350</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1581150" y="54616350"/>
          <a:ext cx="2686050" cy="12319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データモデルを追記</a:t>
          </a:r>
        </a:p>
      </xdr:txBody>
    </xdr:sp>
    <xdr:clientData/>
  </xdr:twoCellAnchor>
  <xdr:twoCellAnchor>
    <xdr:from>
      <xdr:col>6</xdr:col>
      <xdr:colOff>0</xdr:colOff>
      <xdr:row>306</xdr:row>
      <xdr:rowOff>0</xdr:rowOff>
    </xdr:from>
    <xdr:to>
      <xdr:col>16</xdr:col>
      <xdr:colOff>146050</xdr:colOff>
      <xdr:row>314</xdr:row>
      <xdr:rowOff>114300</xdr:rowOff>
    </xdr:to>
    <xdr:sp macro="" textlink="">
      <xdr:nvSpPr>
        <xdr:cNvPr id="21" name="正方形/長方形 20">
          <a:extLst>
            <a:ext uri="{FF2B5EF4-FFF2-40B4-BE49-F238E27FC236}">
              <a16:creationId xmlns:a16="http://schemas.microsoft.com/office/drawing/2014/main" id="{00000000-0008-0000-0000-000015000000}"/>
            </a:ext>
          </a:extLst>
        </xdr:cNvPr>
        <xdr:cNvSpPr/>
      </xdr:nvSpPr>
      <xdr:spPr>
        <a:xfrm>
          <a:off x="1524000" y="42303700"/>
          <a:ext cx="2686050" cy="12319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認可処理シーケンスを追記</a:t>
          </a:r>
        </a:p>
      </xdr:txBody>
    </xdr:sp>
    <xdr:clientData/>
  </xdr:twoCellAnchor>
  <xdr:twoCellAnchor>
    <xdr:from>
      <xdr:col>8</xdr:col>
      <xdr:colOff>76200</xdr:colOff>
      <xdr:row>208</xdr:row>
      <xdr:rowOff>123825</xdr:rowOff>
    </xdr:from>
    <xdr:to>
      <xdr:col>18</xdr:col>
      <xdr:colOff>222250</xdr:colOff>
      <xdr:row>217</xdr:row>
      <xdr:rowOff>95250</xdr:rowOff>
    </xdr:to>
    <xdr:sp macro="" textlink="">
      <xdr:nvSpPr>
        <xdr:cNvPr id="22" name="正方形/長方形 21">
          <a:extLst>
            <a:ext uri="{FF2B5EF4-FFF2-40B4-BE49-F238E27FC236}">
              <a16:creationId xmlns:a16="http://schemas.microsoft.com/office/drawing/2014/main" id="{00000000-0008-0000-0000-000016000000}"/>
            </a:ext>
          </a:extLst>
        </xdr:cNvPr>
        <xdr:cNvSpPr/>
      </xdr:nvSpPr>
      <xdr:spPr>
        <a:xfrm>
          <a:off x="2286000" y="29098875"/>
          <a:ext cx="2908300" cy="12573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データモデルを追記</a:t>
          </a:r>
        </a:p>
      </xdr:txBody>
    </xdr:sp>
    <xdr:clientData/>
  </xdr:twoCellAnchor>
  <xdr:twoCellAnchor>
    <xdr:from>
      <xdr:col>6</xdr:col>
      <xdr:colOff>95250</xdr:colOff>
      <xdr:row>188</xdr:row>
      <xdr:rowOff>38100</xdr:rowOff>
    </xdr:from>
    <xdr:to>
      <xdr:col>16</xdr:col>
      <xdr:colOff>241300</xdr:colOff>
      <xdr:row>197</xdr:row>
      <xdr:rowOff>12700</xdr:rowOff>
    </xdr:to>
    <xdr:sp macro="" textlink="">
      <xdr:nvSpPr>
        <xdr:cNvPr id="24" name="正方形/長方形 23">
          <a:extLst>
            <a:ext uri="{FF2B5EF4-FFF2-40B4-BE49-F238E27FC236}">
              <a16:creationId xmlns:a16="http://schemas.microsoft.com/office/drawing/2014/main" id="{00000000-0008-0000-0000-000018000000}"/>
            </a:ext>
          </a:extLst>
        </xdr:cNvPr>
        <xdr:cNvSpPr/>
      </xdr:nvSpPr>
      <xdr:spPr>
        <a:xfrm>
          <a:off x="1619250" y="25158700"/>
          <a:ext cx="2686050" cy="12319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認証処理シーケンスを追記</a:t>
          </a:r>
        </a:p>
      </xdr:txBody>
    </xdr:sp>
    <xdr:clientData/>
  </xdr:twoCellAnchor>
  <xdr:twoCellAnchor>
    <xdr:from>
      <xdr:col>7</xdr:col>
      <xdr:colOff>0</xdr:colOff>
      <xdr:row>252</xdr:row>
      <xdr:rowOff>0</xdr:rowOff>
    </xdr:from>
    <xdr:to>
      <xdr:col>19</xdr:col>
      <xdr:colOff>82550</xdr:colOff>
      <xdr:row>261</xdr:row>
      <xdr:rowOff>98425</xdr:rowOff>
    </xdr:to>
    <xdr:sp macro="" textlink="">
      <xdr:nvSpPr>
        <xdr:cNvPr id="10" name="正方形/長方形 9">
          <a:extLst>
            <a:ext uri="{FF2B5EF4-FFF2-40B4-BE49-F238E27FC236}">
              <a16:creationId xmlns:a16="http://schemas.microsoft.com/office/drawing/2014/main" id="{FAFB53C4-18D4-4549-AF66-8F4DD0E6C558}"/>
            </a:ext>
          </a:extLst>
        </xdr:cNvPr>
        <xdr:cNvSpPr/>
      </xdr:nvSpPr>
      <xdr:spPr>
        <a:xfrm>
          <a:off x="1933575" y="36118800"/>
          <a:ext cx="3397250" cy="13843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認証処理のシーケンスを追記</a:t>
          </a:r>
        </a:p>
      </xdr:txBody>
    </xdr:sp>
    <xdr:clientData/>
  </xdr:twoCellAnchor>
  <xdr:twoCellAnchor>
    <xdr:from>
      <xdr:col>7</xdr:col>
      <xdr:colOff>0</xdr:colOff>
      <xdr:row>267</xdr:row>
      <xdr:rowOff>0</xdr:rowOff>
    </xdr:from>
    <xdr:to>
      <xdr:col>17</xdr:col>
      <xdr:colOff>146050</xdr:colOff>
      <xdr:row>275</xdr:row>
      <xdr:rowOff>114300</xdr:rowOff>
    </xdr:to>
    <xdr:sp macro="" textlink="">
      <xdr:nvSpPr>
        <xdr:cNvPr id="9" name="正方形/長方形 8">
          <a:extLst>
            <a:ext uri="{FF2B5EF4-FFF2-40B4-BE49-F238E27FC236}">
              <a16:creationId xmlns:a16="http://schemas.microsoft.com/office/drawing/2014/main" id="{9B23168F-EBC8-4FF6-AEEB-5CF7E0AABC6B}"/>
            </a:ext>
          </a:extLst>
        </xdr:cNvPr>
        <xdr:cNvSpPr/>
      </xdr:nvSpPr>
      <xdr:spPr>
        <a:xfrm>
          <a:off x="1933575" y="38261925"/>
          <a:ext cx="2908300" cy="12573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データモデルを追記</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nablarch.github.io/docs/6u2/doc/application_framework/application_framework/libraries/permission_check.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808"/>
  <sheetViews>
    <sheetView showGridLines="0" tabSelected="1" view="pageBreakPreview" zoomScaleNormal="100" zoomScaleSheetLayoutView="100" workbookViewId="0"/>
  </sheetViews>
  <sheetFormatPr defaultColWidth="3.625" defaultRowHeight="14.25" customHeight="1" x14ac:dyDescent="0.15"/>
  <cols>
    <col min="1" max="16384" width="3.625" style="4"/>
  </cols>
  <sheetData>
    <row r="1" spans="1:35" ht="14.25" customHeight="1" x14ac:dyDescent="0.15">
      <c r="A1" s="1" t="s">
        <v>0</v>
      </c>
      <c r="B1" s="2"/>
      <c r="C1" s="2"/>
      <c r="D1" s="3"/>
      <c r="E1" s="93"/>
      <c r="F1" s="94"/>
      <c r="G1" s="94"/>
      <c r="H1" s="94"/>
      <c r="I1" s="94"/>
      <c r="J1" s="94"/>
      <c r="K1" s="94"/>
      <c r="L1" s="94"/>
      <c r="M1" s="94"/>
      <c r="N1" s="94"/>
      <c r="O1" s="95"/>
      <c r="P1" s="1" t="s">
        <v>1</v>
      </c>
      <c r="Q1" s="2"/>
      <c r="R1" s="96" t="s">
        <v>2</v>
      </c>
      <c r="S1" s="97"/>
      <c r="T1" s="97"/>
      <c r="U1" s="97"/>
      <c r="V1" s="97"/>
      <c r="W1" s="97"/>
      <c r="X1" s="98"/>
      <c r="Y1" s="1" t="s">
        <v>3</v>
      </c>
      <c r="Z1" s="3"/>
      <c r="AA1" s="99"/>
      <c r="AB1" s="100"/>
      <c r="AC1" s="100"/>
      <c r="AD1" s="100"/>
      <c r="AE1" s="101"/>
      <c r="AF1" s="90"/>
      <c r="AG1" s="91"/>
      <c r="AH1" s="91"/>
      <c r="AI1" s="92"/>
    </row>
    <row r="2" spans="1:35" ht="14.25" customHeight="1" x14ac:dyDescent="0.15">
      <c r="A2" s="5" t="s">
        <v>4</v>
      </c>
      <c r="B2" s="6"/>
      <c r="C2" s="6"/>
      <c r="D2" s="7"/>
      <c r="E2" s="93"/>
      <c r="F2" s="94"/>
      <c r="G2" s="94"/>
      <c r="H2" s="94"/>
      <c r="I2" s="94"/>
      <c r="J2" s="94"/>
      <c r="K2" s="94"/>
      <c r="L2" s="94"/>
      <c r="M2" s="94"/>
      <c r="N2" s="94"/>
      <c r="O2" s="95"/>
      <c r="P2" s="8" t="s">
        <v>5</v>
      </c>
      <c r="Q2" s="9"/>
      <c r="R2" s="102" t="s">
        <v>6</v>
      </c>
      <c r="S2" s="103"/>
      <c r="T2" s="103"/>
      <c r="U2" s="103"/>
      <c r="V2" s="103"/>
      <c r="W2" s="103"/>
      <c r="X2" s="104"/>
      <c r="Y2" s="1" t="s">
        <v>7</v>
      </c>
      <c r="Z2" s="3"/>
      <c r="AA2" s="99"/>
      <c r="AB2" s="100"/>
      <c r="AC2" s="100"/>
      <c r="AD2" s="100"/>
      <c r="AE2" s="101"/>
      <c r="AF2" s="90"/>
      <c r="AG2" s="91"/>
      <c r="AH2" s="91"/>
      <c r="AI2" s="92"/>
    </row>
    <row r="3" spans="1:35" ht="14.25" customHeight="1" x14ac:dyDescent="0.15">
      <c r="A3" s="1" t="s">
        <v>8</v>
      </c>
      <c r="B3" s="10"/>
      <c r="C3" s="11"/>
      <c r="D3" s="3"/>
      <c r="E3" s="108"/>
      <c r="F3" s="108"/>
      <c r="G3" s="108"/>
      <c r="H3" s="108"/>
      <c r="I3" s="108"/>
      <c r="J3" s="108"/>
      <c r="K3" s="108"/>
      <c r="L3" s="108"/>
      <c r="M3" s="108"/>
      <c r="N3" s="108"/>
      <c r="O3" s="108"/>
      <c r="P3" s="12"/>
      <c r="Q3" s="13"/>
      <c r="R3" s="105"/>
      <c r="S3" s="106"/>
      <c r="T3" s="106"/>
      <c r="U3" s="106"/>
      <c r="V3" s="106"/>
      <c r="W3" s="106"/>
      <c r="X3" s="107"/>
      <c r="Y3" s="12" t="s">
        <v>9</v>
      </c>
      <c r="Z3" s="14"/>
      <c r="AA3" s="99"/>
      <c r="AB3" s="100"/>
      <c r="AC3" s="100"/>
      <c r="AD3" s="100"/>
      <c r="AE3" s="101"/>
      <c r="AF3" s="90"/>
      <c r="AG3" s="91"/>
      <c r="AH3" s="91"/>
      <c r="AI3" s="92"/>
    </row>
    <row r="4" spans="1:35" ht="11.25" customHeight="1" x14ac:dyDescent="0.15"/>
    <row r="5" spans="1:35" ht="11.25" customHeight="1" x14ac:dyDescent="0.15">
      <c r="B5" s="15" t="s">
        <v>10</v>
      </c>
      <c r="C5" s="4" t="s">
        <v>11</v>
      </c>
    </row>
    <row r="6" spans="1:35" ht="11.25" customHeight="1" x14ac:dyDescent="0.15"/>
    <row r="7" spans="1:35" ht="11.25" customHeight="1" x14ac:dyDescent="0.15">
      <c r="C7" s="15" t="str">
        <f>$B$5&amp;"5."</f>
        <v>7.5.</v>
      </c>
      <c r="D7" s="4" t="s">
        <v>12</v>
      </c>
    </row>
    <row r="8" spans="1:35" ht="11.25" customHeight="1" x14ac:dyDescent="0.15"/>
    <row r="9" spans="1:35" ht="11.25" customHeight="1" x14ac:dyDescent="0.15">
      <c r="D9" s="15" t="str">
        <f>$C$7&amp;"1."</f>
        <v>7.5.1.</v>
      </c>
      <c r="E9" s="4" t="s">
        <v>13</v>
      </c>
    </row>
    <row r="10" spans="1:35" ht="11.25" customHeight="1" x14ac:dyDescent="0.15">
      <c r="D10" s="15"/>
      <c r="E10" s="15" t="str">
        <f>$D$9&amp;"1."</f>
        <v>7.5.1.1.</v>
      </c>
      <c r="F10" s="4" t="str">
        <f>$E$9&amp;"機能概要"</f>
        <v>認証機能概要</v>
      </c>
    </row>
    <row r="11" spans="1:35" ht="11.25" customHeight="1" x14ac:dyDescent="0.15">
      <c r="D11" s="15"/>
      <c r="E11" s="15"/>
      <c r="F11" s="4" t="s">
        <v>14</v>
      </c>
    </row>
    <row r="12" spans="1:35" ht="11.25" customHeight="1" x14ac:dyDescent="0.15">
      <c r="D12" s="15"/>
      <c r="E12" s="15"/>
    </row>
    <row r="13" spans="1:35" ht="11.25" customHeight="1" x14ac:dyDescent="0.15">
      <c r="D13" s="15"/>
      <c r="E13" s="15"/>
      <c r="F13" s="4" t="s">
        <v>15</v>
      </c>
    </row>
    <row r="14" spans="1:35" ht="11.25" customHeight="1" x14ac:dyDescent="0.15">
      <c r="D14" s="15"/>
      <c r="E14" s="15"/>
      <c r="F14" s="4" t="s">
        <v>16</v>
      </c>
    </row>
    <row r="15" spans="1:35" ht="11.25" customHeight="1" x14ac:dyDescent="0.15">
      <c r="D15" s="15"/>
      <c r="E15" s="15"/>
    </row>
    <row r="16" spans="1:35" ht="11.25" customHeight="1" x14ac:dyDescent="0.15">
      <c r="D16" s="15"/>
      <c r="E16" s="15"/>
      <c r="F16" s="4" t="s">
        <v>17</v>
      </c>
    </row>
    <row r="17" spans="5:34" ht="11.25" customHeight="1" x14ac:dyDescent="0.15"/>
    <row r="18" spans="5:34" ht="11.25" customHeight="1" x14ac:dyDescent="0.15">
      <c r="F18" s="4" t="s">
        <v>18</v>
      </c>
    </row>
    <row r="19" spans="5:34" ht="11.25" customHeight="1" x14ac:dyDescent="0.15"/>
    <row r="20" spans="5:34" ht="11.25" customHeight="1" x14ac:dyDescent="0.15">
      <c r="E20" s="15" t="str">
        <f>$D$9&amp;"2."</f>
        <v>7.5.1.2.</v>
      </c>
      <c r="F20" s="4" t="str">
        <f>$E$9&amp;"方法"</f>
        <v>認証方法</v>
      </c>
    </row>
    <row r="21" spans="5:34" ht="11.25" customHeight="1" x14ac:dyDescent="0.15"/>
    <row r="22" spans="5:34" ht="11.25" customHeight="1" x14ac:dyDescent="0.15">
      <c r="F22" s="16" t="s">
        <v>19</v>
      </c>
      <c r="G22" s="17"/>
      <c r="H22" s="17"/>
      <c r="I22" s="17"/>
      <c r="J22" s="42"/>
      <c r="K22" s="16" t="s">
        <v>20</v>
      </c>
      <c r="L22" s="17"/>
      <c r="M22" s="17"/>
      <c r="N22" s="16" t="s">
        <v>21</v>
      </c>
      <c r="O22" s="17"/>
      <c r="P22" s="17"/>
      <c r="Q22" s="18"/>
      <c r="R22" s="17" t="s">
        <v>22</v>
      </c>
      <c r="S22" s="17"/>
      <c r="T22" s="17"/>
      <c r="U22" s="17"/>
      <c r="V22" s="17"/>
      <c r="W22" s="17"/>
      <c r="X22" s="17"/>
      <c r="Y22" s="17"/>
      <c r="Z22" s="17"/>
      <c r="AA22" s="17"/>
      <c r="AB22" s="17"/>
      <c r="AC22" s="17"/>
      <c r="AD22" s="17"/>
      <c r="AE22" s="17"/>
      <c r="AF22" s="17"/>
      <c r="AG22" s="17"/>
      <c r="AH22" s="18"/>
    </row>
    <row r="23" spans="5:34" ht="11.25" customHeight="1" x14ac:dyDescent="0.15">
      <c r="F23" s="27" t="s">
        <v>23</v>
      </c>
      <c r="J23" s="33"/>
      <c r="K23" s="27" t="s">
        <v>24</v>
      </c>
      <c r="N23" s="38" t="s">
        <v>25</v>
      </c>
      <c r="O23" s="32"/>
      <c r="P23" s="32"/>
      <c r="Q23" s="33"/>
      <c r="R23" s="4" t="s">
        <v>26</v>
      </c>
      <c r="AH23" s="28"/>
    </row>
    <row r="24" spans="5:34" ht="11.25" customHeight="1" x14ac:dyDescent="0.15">
      <c r="F24" s="27"/>
      <c r="J24" s="28"/>
      <c r="K24" s="27"/>
      <c r="N24" s="27"/>
      <c r="Q24" s="28"/>
      <c r="R24" s="4" t="s">
        <v>27</v>
      </c>
      <c r="AH24" s="28"/>
    </row>
    <row r="25" spans="5:34" ht="11.25" customHeight="1" x14ac:dyDescent="0.15">
      <c r="F25" s="27"/>
      <c r="J25" s="28"/>
      <c r="K25" s="27"/>
      <c r="N25" s="27"/>
      <c r="Q25" s="28"/>
      <c r="R25" s="4" t="s">
        <v>28</v>
      </c>
      <c r="AH25" s="28"/>
    </row>
    <row r="26" spans="5:34" ht="11.25" customHeight="1" x14ac:dyDescent="0.15">
      <c r="F26" s="27"/>
      <c r="J26" s="31"/>
      <c r="K26" s="27"/>
      <c r="N26" s="27"/>
      <c r="Q26" s="28"/>
      <c r="AH26" s="28"/>
    </row>
    <row r="27" spans="5:34" ht="11.25" customHeight="1" x14ac:dyDescent="0.15">
      <c r="F27" s="38" t="s">
        <v>23</v>
      </c>
      <c r="G27" s="32"/>
      <c r="H27" s="32"/>
      <c r="I27" s="32"/>
      <c r="J27" s="33"/>
      <c r="K27" s="38" t="s">
        <v>29</v>
      </c>
      <c r="L27" s="32"/>
      <c r="M27" s="33"/>
      <c r="N27" s="38" t="s">
        <v>30</v>
      </c>
      <c r="O27" s="32"/>
      <c r="P27" s="32"/>
      <c r="Q27" s="33"/>
      <c r="R27" s="38" t="s">
        <v>31</v>
      </c>
      <c r="S27" s="32"/>
      <c r="T27" s="32"/>
      <c r="U27" s="32"/>
      <c r="V27" s="32"/>
      <c r="W27" s="32"/>
      <c r="X27" s="32"/>
      <c r="Y27" s="32"/>
      <c r="Z27" s="32"/>
      <c r="AA27" s="32"/>
      <c r="AB27" s="32"/>
      <c r="AC27" s="32"/>
      <c r="AD27" s="32"/>
      <c r="AE27" s="32"/>
      <c r="AF27" s="32"/>
      <c r="AG27" s="32"/>
      <c r="AH27" s="33"/>
    </row>
    <row r="28" spans="5:34" ht="11.25" customHeight="1" x14ac:dyDescent="0.15">
      <c r="F28" s="27"/>
      <c r="I28" s="39"/>
      <c r="J28" s="28"/>
      <c r="K28" s="27"/>
      <c r="M28" s="28"/>
      <c r="N28" s="27"/>
      <c r="Q28" s="28"/>
      <c r="R28" s="27" t="s">
        <v>32</v>
      </c>
      <c r="AH28" s="28"/>
    </row>
    <row r="29" spans="5:34" ht="11.25" customHeight="1" x14ac:dyDescent="0.15">
      <c r="F29" s="27"/>
      <c r="I29" s="39"/>
      <c r="J29" s="28"/>
      <c r="K29" s="27"/>
      <c r="M29" s="28"/>
      <c r="N29" s="27"/>
      <c r="Q29" s="28"/>
      <c r="R29" s="27"/>
      <c r="S29" s="4" t="s">
        <v>33</v>
      </c>
      <c r="AH29" s="28"/>
    </row>
    <row r="30" spans="5:34" ht="11.25" customHeight="1" x14ac:dyDescent="0.15">
      <c r="F30" s="27"/>
      <c r="I30" s="39"/>
      <c r="J30" s="28"/>
      <c r="K30" s="27"/>
      <c r="M30" s="28"/>
      <c r="N30" s="27"/>
      <c r="Q30" s="28"/>
      <c r="R30" s="27"/>
      <c r="S30" s="4" t="s">
        <v>34</v>
      </c>
      <c r="AH30" s="28"/>
    </row>
    <row r="31" spans="5:34" ht="11.25" customHeight="1" x14ac:dyDescent="0.15">
      <c r="F31" s="27"/>
      <c r="I31" s="39"/>
      <c r="J31" s="28"/>
      <c r="K31" s="27"/>
      <c r="M31" s="28"/>
      <c r="N31" s="27"/>
      <c r="Q31" s="28"/>
      <c r="R31" s="27"/>
      <c r="AH31" s="28"/>
    </row>
    <row r="32" spans="5:34" ht="11.25" customHeight="1" x14ac:dyDescent="0.15">
      <c r="F32" s="27"/>
      <c r="I32" s="39"/>
      <c r="J32" s="28"/>
      <c r="K32" s="27"/>
      <c r="M32" s="28"/>
      <c r="N32" s="27"/>
      <c r="Q32" s="28"/>
      <c r="R32" s="27" t="s">
        <v>35</v>
      </c>
      <c r="AH32" s="28"/>
    </row>
    <row r="33" spans="5:34" ht="11.25" customHeight="1" x14ac:dyDescent="0.15">
      <c r="F33" s="27"/>
      <c r="I33" s="39"/>
      <c r="J33" s="28"/>
      <c r="K33" s="27"/>
      <c r="M33" s="28"/>
      <c r="N33" s="27"/>
      <c r="Q33" s="28"/>
      <c r="R33" s="27"/>
      <c r="S33" s="4" t="s">
        <v>36</v>
      </c>
      <c r="AH33" s="28"/>
    </row>
    <row r="34" spans="5:34" ht="11.25" customHeight="1" x14ac:dyDescent="0.15">
      <c r="F34" s="27"/>
      <c r="I34" s="39"/>
      <c r="J34" s="28"/>
      <c r="K34" s="27"/>
      <c r="M34" s="28"/>
      <c r="N34" s="27"/>
      <c r="Q34" s="28"/>
      <c r="R34" s="27"/>
      <c r="S34" s="4" t="s">
        <v>37</v>
      </c>
      <c r="AH34" s="28"/>
    </row>
    <row r="35" spans="5:34" ht="11.25" customHeight="1" x14ac:dyDescent="0.15">
      <c r="F35" s="29"/>
      <c r="G35" s="30"/>
      <c r="H35" s="30"/>
      <c r="I35" s="30"/>
      <c r="J35" s="31"/>
      <c r="K35" s="29"/>
      <c r="L35" s="30"/>
      <c r="M35" s="31"/>
      <c r="N35" s="29"/>
      <c r="O35" s="30"/>
      <c r="P35" s="30"/>
      <c r="Q35" s="31"/>
      <c r="R35" s="29"/>
      <c r="S35" s="30"/>
      <c r="T35" s="30"/>
      <c r="U35" s="30"/>
      <c r="V35" s="30"/>
      <c r="W35" s="30"/>
      <c r="X35" s="30"/>
      <c r="Y35" s="30"/>
      <c r="Z35" s="30"/>
      <c r="AA35" s="30"/>
      <c r="AB35" s="30"/>
      <c r="AC35" s="30"/>
      <c r="AD35" s="30"/>
      <c r="AE35" s="30"/>
      <c r="AF35" s="30"/>
      <c r="AG35" s="30"/>
      <c r="AH35" s="31"/>
    </row>
    <row r="36" spans="5:34" ht="11.25" customHeight="1" x14ac:dyDescent="0.15">
      <c r="F36" s="38" t="s">
        <v>38</v>
      </c>
      <c r="G36" s="32"/>
      <c r="H36" s="32"/>
      <c r="I36" s="32"/>
      <c r="J36" s="33"/>
      <c r="K36" s="38" t="s">
        <v>39</v>
      </c>
      <c r="L36" s="32"/>
      <c r="M36" s="33"/>
      <c r="N36" s="38" t="s">
        <v>40</v>
      </c>
      <c r="O36" s="32"/>
      <c r="P36" s="32"/>
      <c r="Q36" s="33"/>
      <c r="R36" s="38" t="s">
        <v>208</v>
      </c>
      <c r="S36" s="32"/>
      <c r="T36" s="32"/>
      <c r="U36" s="32"/>
      <c r="V36" s="32"/>
      <c r="W36" s="32"/>
      <c r="X36" s="32"/>
      <c r="Y36" s="32"/>
      <c r="Z36" s="32"/>
      <c r="AA36" s="32"/>
      <c r="AB36" s="32"/>
      <c r="AC36" s="32"/>
      <c r="AD36" s="32"/>
      <c r="AE36" s="32"/>
      <c r="AF36" s="32"/>
      <c r="AG36" s="32"/>
      <c r="AH36" s="33"/>
    </row>
    <row r="37" spans="5:34" ht="11.25" customHeight="1" x14ac:dyDescent="0.15">
      <c r="F37" s="27"/>
      <c r="I37" s="39"/>
      <c r="J37" s="28"/>
      <c r="K37" s="27"/>
      <c r="M37" s="28"/>
      <c r="N37" s="27"/>
      <c r="Q37" s="28"/>
      <c r="R37" s="27" t="s">
        <v>219</v>
      </c>
      <c r="AH37" s="28"/>
    </row>
    <row r="38" spans="5:34" ht="11.25" customHeight="1" x14ac:dyDescent="0.15">
      <c r="F38" s="29"/>
      <c r="G38" s="30"/>
      <c r="H38" s="30"/>
      <c r="I38" s="30"/>
      <c r="J38" s="31"/>
      <c r="K38" s="29"/>
      <c r="L38" s="30"/>
      <c r="M38" s="31"/>
      <c r="N38" s="29"/>
      <c r="O38" s="30"/>
      <c r="P38" s="30"/>
      <c r="Q38" s="31"/>
      <c r="R38" s="29" t="s">
        <v>220</v>
      </c>
      <c r="S38" s="30"/>
      <c r="T38" s="30"/>
      <c r="U38" s="30"/>
      <c r="V38" s="30"/>
      <c r="W38" s="30"/>
      <c r="X38" s="30"/>
      <c r="Y38" s="30"/>
      <c r="Z38" s="30"/>
      <c r="AA38" s="30"/>
      <c r="AB38" s="30"/>
      <c r="AC38" s="30"/>
      <c r="AD38" s="30"/>
      <c r="AE38" s="30"/>
      <c r="AF38" s="30"/>
      <c r="AG38" s="30"/>
      <c r="AH38" s="31"/>
    </row>
    <row r="39" spans="5:34" ht="11.25" customHeight="1" x14ac:dyDescent="0.15"/>
    <row r="40" spans="5:34" ht="11.25" customHeight="1" x14ac:dyDescent="0.15">
      <c r="E40" s="15" t="str">
        <f>$D$9&amp;"3."</f>
        <v>7.5.1.3.</v>
      </c>
      <c r="F40" s="4" t="str">
        <f>$E$9&amp;"機能詳細"</f>
        <v>認証機能詳細</v>
      </c>
    </row>
    <row r="41" spans="5:34" ht="11.25" customHeight="1" x14ac:dyDescent="0.15">
      <c r="F41" s="15" t="s">
        <v>41</v>
      </c>
      <c r="G41" s="4" t="s">
        <v>42</v>
      </c>
    </row>
    <row r="42" spans="5:34" ht="11.25" customHeight="1" x14ac:dyDescent="0.15">
      <c r="F42" s="15"/>
      <c r="G42" s="4" t="s">
        <v>43</v>
      </c>
    </row>
    <row r="43" spans="5:34" ht="11.25" customHeight="1" x14ac:dyDescent="0.15">
      <c r="F43" s="15"/>
      <c r="G43" s="4" t="s">
        <v>44</v>
      </c>
    </row>
    <row r="44" spans="5:34" ht="11.25" customHeight="1" x14ac:dyDescent="0.15">
      <c r="F44" s="15"/>
      <c r="G44" s="4" t="s">
        <v>45</v>
      </c>
    </row>
    <row r="45" spans="5:34" ht="11.25" customHeight="1" x14ac:dyDescent="0.15">
      <c r="F45" s="15"/>
      <c r="G45" s="4" t="s">
        <v>46</v>
      </c>
    </row>
    <row r="46" spans="5:34" ht="11.25" customHeight="1" x14ac:dyDescent="0.15">
      <c r="F46" s="15"/>
      <c r="G46" s="4" t="s">
        <v>47</v>
      </c>
    </row>
    <row r="47" spans="5:34" ht="11.25" customHeight="1" x14ac:dyDescent="0.15">
      <c r="F47" s="15"/>
      <c r="G47" s="4" t="s">
        <v>48</v>
      </c>
    </row>
    <row r="48" spans="5:34" ht="11.25" customHeight="1" x14ac:dyDescent="0.15">
      <c r="F48" s="15"/>
    </row>
    <row r="49" spans="6:8" ht="11.25" customHeight="1" x14ac:dyDescent="0.15">
      <c r="F49" s="15"/>
    </row>
    <row r="50" spans="6:8" ht="11.25" customHeight="1" x14ac:dyDescent="0.15">
      <c r="F50" s="15"/>
    </row>
    <row r="51" spans="6:8" ht="11.25" customHeight="1" x14ac:dyDescent="0.15">
      <c r="F51" s="15"/>
      <c r="G51" s="15" t="s">
        <v>49</v>
      </c>
      <c r="H51" s="4" t="s">
        <v>50</v>
      </c>
    </row>
    <row r="52" spans="6:8" ht="11.25" customHeight="1" x14ac:dyDescent="0.15">
      <c r="F52" s="15"/>
      <c r="G52" s="15"/>
      <c r="H52" s="4" t="s">
        <v>51</v>
      </c>
    </row>
    <row r="53" spans="6:8" ht="11.25" customHeight="1" x14ac:dyDescent="0.15">
      <c r="F53" s="15"/>
      <c r="G53" s="15"/>
      <c r="H53" s="4" t="s">
        <v>52</v>
      </c>
    </row>
    <row r="54" spans="6:8" ht="11.25" customHeight="1" x14ac:dyDescent="0.15">
      <c r="F54" s="15"/>
      <c r="G54" s="15"/>
    </row>
    <row r="55" spans="6:8" ht="11.25" customHeight="1" x14ac:dyDescent="0.15">
      <c r="F55" s="15"/>
      <c r="G55" s="15"/>
    </row>
    <row r="56" spans="6:8" ht="11.25" customHeight="1" x14ac:dyDescent="0.15">
      <c r="F56" s="15"/>
      <c r="G56" s="15"/>
    </row>
    <row r="57" spans="6:8" ht="11.25" customHeight="1" x14ac:dyDescent="0.15">
      <c r="F57" s="15"/>
      <c r="G57" s="15"/>
    </row>
    <row r="58" spans="6:8" ht="11.25" customHeight="1" x14ac:dyDescent="0.15">
      <c r="F58" s="15"/>
      <c r="G58" s="15"/>
    </row>
    <row r="59" spans="6:8" ht="11.25" customHeight="1" x14ac:dyDescent="0.15">
      <c r="F59" s="15"/>
      <c r="G59" s="15"/>
    </row>
    <row r="60" spans="6:8" ht="11.25" customHeight="1" x14ac:dyDescent="0.15">
      <c r="F60" s="15"/>
      <c r="G60" s="15"/>
    </row>
    <row r="61" spans="6:8" ht="11.25" customHeight="1" x14ac:dyDescent="0.15">
      <c r="F61" s="15"/>
      <c r="G61" s="15"/>
    </row>
    <row r="62" spans="6:8" ht="11.25" customHeight="1" x14ac:dyDescent="0.15">
      <c r="F62" s="15"/>
      <c r="G62" s="15"/>
    </row>
    <row r="63" spans="6:8" ht="11.25" customHeight="1" x14ac:dyDescent="0.15">
      <c r="F63" s="15"/>
      <c r="G63" s="15"/>
    </row>
    <row r="64" spans="6:8" ht="11.25" customHeight="1" x14ac:dyDescent="0.15">
      <c r="F64" s="15"/>
      <c r="G64" s="15"/>
    </row>
    <row r="65" spans="6:8" ht="11.25" customHeight="1" x14ac:dyDescent="0.15">
      <c r="F65" s="15"/>
      <c r="G65" s="15"/>
    </row>
    <row r="66" spans="6:8" ht="11.25" customHeight="1" x14ac:dyDescent="0.15">
      <c r="F66" s="15"/>
      <c r="G66" s="15"/>
    </row>
    <row r="67" spans="6:8" ht="11.25" customHeight="1" x14ac:dyDescent="0.15">
      <c r="F67" s="15"/>
    </row>
    <row r="68" spans="6:8" ht="11.25" customHeight="1" x14ac:dyDescent="0.15">
      <c r="F68" s="15"/>
    </row>
    <row r="69" spans="6:8" ht="11.25" customHeight="1" x14ac:dyDescent="0.15">
      <c r="F69" s="15"/>
      <c r="G69" s="15" t="s">
        <v>53</v>
      </c>
      <c r="H69" s="4" t="s">
        <v>54</v>
      </c>
    </row>
    <row r="70" spans="6:8" ht="11.25" customHeight="1" x14ac:dyDescent="0.15">
      <c r="F70" s="15"/>
      <c r="H70" s="4" t="s">
        <v>55</v>
      </c>
    </row>
    <row r="71" spans="6:8" ht="11.25" customHeight="1" x14ac:dyDescent="0.15">
      <c r="F71" s="15"/>
      <c r="H71" s="4" t="s">
        <v>56</v>
      </c>
    </row>
    <row r="72" spans="6:8" ht="11.25" customHeight="1" x14ac:dyDescent="0.15">
      <c r="F72" s="15"/>
    </row>
    <row r="73" spans="6:8" ht="11.25" customHeight="1" x14ac:dyDescent="0.15">
      <c r="F73" s="15"/>
    </row>
    <row r="74" spans="6:8" ht="11.25" customHeight="1" x14ac:dyDescent="0.15">
      <c r="F74" s="15"/>
    </row>
    <row r="75" spans="6:8" ht="11.25" customHeight="1" x14ac:dyDescent="0.15">
      <c r="F75" s="15"/>
    </row>
    <row r="76" spans="6:8" ht="11.25" customHeight="1" x14ac:dyDescent="0.15">
      <c r="F76" s="15"/>
    </row>
    <row r="77" spans="6:8" ht="11.25" customHeight="1" x14ac:dyDescent="0.15">
      <c r="F77" s="15"/>
    </row>
    <row r="78" spans="6:8" ht="11.25" customHeight="1" x14ac:dyDescent="0.15">
      <c r="F78" s="15"/>
    </row>
    <row r="79" spans="6:8" ht="11.25" customHeight="1" x14ac:dyDescent="0.15">
      <c r="F79" s="15"/>
    </row>
    <row r="80" spans="6:8" ht="11.25" customHeight="1" x14ac:dyDescent="0.15">
      <c r="F80" s="15"/>
    </row>
    <row r="81" spans="6:8" ht="11.25" customHeight="1" x14ac:dyDescent="0.15">
      <c r="F81" s="15"/>
    </row>
    <row r="82" spans="6:8" ht="11.25" customHeight="1" x14ac:dyDescent="0.15">
      <c r="F82" s="15"/>
    </row>
    <row r="83" spans="6:8" ht="11.25" customHeight="1" x14ac:dyDescent="0.15">
      <c r="F83" s="15"/>
    </row>
    <row r="84" spans="6:8" ht="11.25" customHeight="1" x14ac:dyDescent="0.15">
      <c r="F84" s="15"/>
    </row>
    <row r="85" spans="6:8" ht="11.25" customHeight="1" x14ac:dyDescent="0.15">
      <c r="F85" s="15"/>
    </row>
    <row r="86" spans="6:8" ht="11.25" customHeight="1" x14ac:dyDescent="0.15">
      <c r="F86" s="15"/>
      <c r="G86" s="15" t="s">
        <v>57</v>
      </c>
      <c r="H86" s="4" t="s">
        <v>58</v>
      </c>
    </row>
    <row r="87" spans="6:8" ht="11.25" customHeight="1" x14ac:dyDescent="0.15">
      <c r="F87" s="15"/>
      <c r="H87" s="4" t="s">
        <v>59</v>
      </c>
    </row>
    <row r="88" spans="6:8" ht="11.25" customHeight="1" x14ac:dyDescent="0.15">
      <c r="F88" s="15"/>
    </row>
    <row r="89" spans="6:8" ht="11.25" customHeight="1" x14ac:dyDescent="0.15">
      <c r="F89" s="15"/>
    </row>
    <row r="90" spans="6:8" ht="11.25" customHeight="1" x14ac:dyDescent="0.15">
      <c r="F90" s="15"/>
    </row>
    <row r="91" spans="6:8" ht="11.25" customHeight="1" x14ac:dyDescent="0.15">
      <c r="F91" s="15"/>
    </row>
    <row r="92" spans="6:8" ht="11.25" customHeight="1" x14ac:dyDescent="0.15">
      <c r="F92" s="15"/>
    </row>
    <row r="93" spans="6:8" ht="11.25" customHeight="1" x14ac:dyDescent="0.15">
      <c r="F93" s="15"/>
    </row>
    <row r="94" spans="6:8" ht="11.25" customHeight="1" x14ac:dyDescent="0.15">
      <c r="F94" s="15"/>
    </row>
    <row r="95" spans="6:8" ht="11.25" customHeight="1" x14ac:dyDescent="0.15">
      <c r="F95" s="15"/>
    </row>
    <row r="96" spans="6:8" ht="11.25" customHeight="1" x14ac:dyDescent="0.15">
      <c r="F96" s="15"/>
    </row>
    <row r="97" spans="6:9" ht="11.25" customHeight="1" x14ac:dyDescent="0.15">
      <c r="F97" s="15"/>
    </row>
    <row r="98" spans="6:9" ht="11.25" customHeight="1" x14ac:dyDescent="0.15">
      <c r="F98" s="15"/>
    </row>
    <row r="99" spans="6:9" ht="11.25" customHeight="1" x14ac:dyDescent="0.15">
      <c r="F99" s="15"/>
    </row>
    <row r="100" spans="6:9" ht="11.25" customHeight="1" x14ac:dyDescent="0.15">
      <c r="F100" s="15"/>
    </row>
    <row r="101" spans="6:9" ht="11.25" customHeight="1" x14ac:dyDescent="0.15">
      <c r="F101" s="15"/>
    </row>
    <row r="102" spans="6:9" ht="11.25" customHeight="1" x14ac:dyDescent="0.15">
      <c r="F102" s="15"/>
      <c r="G102" s="15" t="s">
        <v>60</v>
      </c>
      <c r="H102" s="4" t="s">
        <v>61</v>
      </c>
    </row>
    <row r="103" spans="6:9" ht="11.25" customHeight="1" x14ac:dyDescent="0.15">
      <c r="F103" s="15"/>
      <c r="H103" s="15" t="s">
        <v>62</v>
      </c>
      <c r="I103" s="4" t="s">
        <v>63</v>
      </c>
    </row>
    <row r="104" spans="6:9" ht="11.25" customHeight="1" x14ac:dyDescent="0.15">
      <c r="F104" s="15"/>
      <c r="I104" s="4" t="s">
        <v>64</v>
      </c>
    </row>
    <row r="105" spans="6:9" ht="11.25" customHeight="1" x14ac:dyDescent="0.15">
      <c r="F105" s="15"/>
      <c r="I105" s="4" t="s">
        <v>65</v>
      </c>
    </row>
    <row r="106" spans="6:9" ht="11.25" customHeight="1" x14ac:dyDescent="0.15">
      <c r="F106" s="15"/>
    </row>
    <row r="107" spans="6:9" ht="11.25" customHeight="1" x14ac:dyDescent="0.15">
      <c r="F107" s="15"/>
    </row>
    <row r="108" spans="6:9" ht="11.25" customHeight="1" x14ac:dyDescent="0.15">
      <c r="F108" s="15" t="s">
        <v>66</v>
      </c>
      <c r="G108" s="4" t="s">
        <v>67</v>
      </c>
    </row>
    <row r="109" spans="6:9" ht="11.25" customHeight="1" x14ac:dyDescent="0.15">
      <c r="F109" s="15"/>
      <c r="G109" s="4" t="s">
        <v>68</v>
      </c>
    </row>
    <row r="110" spans="6:9" ht="11.25" customHeight="1" x14ac:dyDescent="0.15">
      <c r="F110" s="15"/>
      <c r="G110" s="4" t="s">
        <v>69</v>
      </c>
    </row>
    <row r="111" spans="6:9" ht="11.25" customHeight="1" x14ac:dyDescent="0.15">
      <c r="F111" s="15"/>
    </row>
    <row r="112" spans="6:9" ht="11.25" customHeight="1" x14ac:dyDescent="0.15">
      <c r="F112" s="15"/>
      <c r="G112" s="15" t="s">
        <v>70</v>
      </c>
      <c r="H112" s="4" t="s">
        <v>71</v>
      </c>
    </row>
    <row r="113" spans="6:12" ht="11.25" customHeight="1" x14ac:dyDescent="0.15">
      <c r="F113" s="15"/>
      <c r="H113" s="4" t="s">
        <v>72</v>
      </c>
    </row>
    <row r="114" spans="6:12" ht="11.25" customHeight="1" x14ac:dyDescent="0.15">
      <c r="F114" s="15"/>
    </row>
    <row r="115" spans="6:12" ht="11.25" customHeight="1" x14ac:dyDescent="0.15">
      <c r="F115" s="15"/>
      <c r="H115" s="4" t="s">
        <v>73</v>
      </c>
      <c r="L115" s="4" t="s">
        <v>74</v>
      </c>
    </row>
    <row r="116" spans="6:12" ht="11.25" customHeight="1" x14ac:dyDescent="0.15">
      <c r="F116" s="15"/>
      <c r="L116" s="4" t="s">
        <v>75</v>
      </c>
    </row>
    <row r="117" spans="6:12" ht="11.25" customHeight="1" x14ac:dyDescent="0.15">
      <c r="F117" s="15"/>
      <c r="L117" s="4" t="s">
        <v>76</v>
      </c>
    </row>
    <row r="118" spans="6:12" ht="11.25" customHeight="1" x14ac:dyDescent="0.15">
      <c r="F118" s="15"/>
    </row>
    <row r="119" spans="6:12" ht="11.25" customHeight="1" x14ac:dyDescent="0.15">
      <c r="F119" s="15"/>
      <c r="H119" s="4" t="s">
        <v>77</v>
      </c>
      <c r="L119" s="4" t="s">
        <v>78</v>
      </c>
    </row>
    <row r="120" spans="6:12" ht="11.25" customHeight="1" x14ac:dyDescent="0.15">
      <c r="F120" s="15"/>
      <c r="L120" s="4" t="s">
        <v>79</v>
      </c>
    </row>
    <row r="121" spans="6:12" ht="11.25" customHeight="1" x14ac:dyDescent="0.15">
      <c r="F121" s="15"/>
    </row>
    <row r="122" spans="6:12" ht="11.25" customHeight="1" x14ac:dyDescent="0.15">
      <c r="F122" s="15"/>
    </row>
    <row r="123" spans="6:12" ht="11.25" customHeight="1" x14ac:dyDescent="0.15">
      <c r="F123" s="15"/>
      <c r="G123" s="15" t="s">
        <v>70</v>
      </c>
      <c r="H123" s="4" t="s">
        <v>80</v>
      </c>
    </row>
    <row r="124" spans="6:12" ht="11.25" customHeight="1" x14ac:dyDescent="0.15">
      <c r="F124" s="15"/>
      <c r="H124" s="4" t="s">
        <v>81</v>
      </c>
    </row>
    <row r="125" spans="6:12" ht="11.25" customHeight="1" x14ac:dyDescent="0.15">
      <c r="F125" s="15"/>
      <c r="H125" s="4" t="s">
        <v>82</v>
      </c>
    </row>
    <row r="126" spans="6:12" ht="11.25" customHeight="1" x14ac:dyDescent="0.15">
      <c r="F126" s="15"/>
    </row>
    <row r="127" spans="6:12" ht="11.25" customHeight="1" x14ac:dyDescent="0.15">
      <c r="F127" s="15"/>
      <c r="H127" s="15" t="s">
        <v>83</v>
      </c>
      <c r="I127" s="4" t="s">
        <v>50</v>
      </c>
    </row>
    <row r="128" spans="6:12" ht="11.25" customHeight="1" x14ac:dyDescent="0.15">
      <c r="F128" s="15"/>
      <c r="I128" s="4" t="s">
        <v>84</v>
      </c>
    </row>
    <row r="129" spans="6:9" ht="11.25" customHeight="1" x14ac:dyDescent="0.15">
      <c r="F129" s="15"/>
      <c r="I129" s="4" t="s">
        <v>85</v>
      </c>
    </row>
    <row r="130" spans="6:9" ht="11.25" customHeight="1" x14ac:dyDescent="0.15">
      <c r="F130" s="15"/>
      <c r="I130" s="4" t="s">
        <v>86</v>
      </c>
    </row>
    <row r="131" spans="6:9" ht="11.25" customHeight="1" x14ac:dyDescent="0.15">
      <c r="F131" s="15"/>
    </row>
    <row r="132" spans="6:9" ht="11.25" customHeight="1" x14ac:dyDescent="0.15">
      <c r="F132" s="15"/>
      <c r="I132" s="20"/>
    </row>
    <row r="133" spans="6:9" ht="11.25" customHeight="1" x14ac:dyDescent="0.15">
      <c r="F133" s="15"/>
    </row>
    <row r="134" spans="6:9" ht="11.25" customHeight="1" x14ac:dyDescent="0.15">
      <c r="F134" s="15"/>
    </row>
    <row r="135" spans="6:9" ht="11.25" customHeight="1" x14ac:dyDescent="0.15">
      <c r="F135" s="15"/>
    </row>
    <row r="136" spans="6:9" ht="11.25" customHeight="1" x14ac:dyDescent="0.15">
      <c r="F136" s="15"/>
    </row>
    <row r="137" spans="6:9" ht="11.25" customHeight="1" x14ac:dyDescent="0.15">
      <c r="F137" s="15"/>
    </row>
    <row r="138" spans="6:9" ht="11.25" customHeight="1" x14ac:dyDescent="0.15">
      <c r="F138" s="15"/>
    </row>
    <row r="139" spans="6:9" ht="11.25" customHeight="1" x14ac:dyDescent="0.15">
      <c r="F139" s="15"/>
    </row>
    <row r="140" spans="6:9" ht="11.25" customHeight="1" x14ac:dyDescent="0.15">
      <c r="F140" s="15"/>
    </row>
    <row r="141" spans="6:9" ht="11.25" customHeight="1" x14ac:dyDescent="0.15">
      <c r="F141" s="15"/>
    </row>
    <row r="142" spans="6:9" ht="11.25" customHeight="1" x14ac:dyDescent="0.15">
      <c r="F142" s="15"/>
    </row>
    <row r="143" spans="6:9" ht="11.25" customHeight="1" x14ac:dyDescent="0.15">
      <c r="F143" s="15"/>
    </row>
    <row r="144" spans="6:9" ht="11.25" customHeight="1" x14ac:dyDescent="0.15">
      <c r="F144" s="15"/>
      <c r="H144" s="15" t="s">
        <v>87</v>
      </c>
      <c r="I144" s="4" t="s">
        <v>54</v>
      </c>
    </row>
    <row r="145" spans="6:9" ht="11.25" customHeight="1" x14ac:dyDescent="0.15">
      <c r="F145" s="15"/>
      <c r="I145" s="4" t="s">
        <v>88</v>
      </c>
    </row>
    <row r="146" spans="6:9" ht="11.25" customHeight="1" x14ac:dyDescent="0.15">
      <c r="F146" s="15"/>
      <c r="I146" s="4" t="s">
        <v>56</v>
      </c>
    </row>
    <row r="147" spans="6:9" ht="11.25" customHeight="1" x14ac:dyDescent="0.15">
      <c r="F147" s="15"/>
    </row>
    <row r="148" spans="6:9" ht="11.25" customHeight="1" x14ac:dyDescent="0.15">
      <c r="F148" s="15"/>
    </row>
    <row r="149" spans="6:9" ht="11.25" customHeight="1" x14ac:dyDescent="0.15">
      <c r="F149" s="15"/>
    </row>
    <row r="150" spans="6:9" ht="11.25" customHeight="1" x14ac:dyDescent="0.15">
      <c r="F150" s="15"/>
    </row>
    <row r="151" spans="6:9" ht="11.25" customHeight="1" x14ac:dyDescent="0.15">
      <c r="F151" s="15"/>
    </row>
    <row r="152" spans="6:9" ht="11.25" customHeight="1" x14ac:dyDescent="0.15">
      <c r="F152" s="15"/>
    </row>
    <row r="153" spans="6:9" ht="11.25" customHeight="1" x14ac:dyDescent="0.15">
      <c r="F153" s="15"/>
    </row>
    <row r="154" spans="6:9" ht="11.25" customHeight="1" x14ac:dyDescent="0.15">
      <c r="F154" s="15"/>
    </row>
    <row r="155" spans="6:9" ht="11.25" customHeight="1" x14ac:dyDescent="0.15">
      <c r="F155" s="15"/>
    </row>
    <row r="156" spans="6:9" ht="11.25" customHeight="1" x14ac:dyDescent="0.15">
      <c r="F156" s="15"/>
    </row>
    <row r="157" spans="6:9" ht="11.25" customHeight="1" x14ac:dyDescent="0.15">
      <c r="F157" s="15"/>
    </row>
    <row r="158" spans="6:9" ht="11.25" customHeight="1" x14ac:dyDescent="0.15">
      <c r="F158" s="15"/>
    </row>
    <row r="159" spans="6:9" ht="11.25" customHeight="1" x14ac:dyDescent="0.15">
      <c r="F159" s="15"/>
      <c r="H159" s="15" t="s">
        <v>89</v>
      </c>
      <c r="I159" s="4" t="s">
        <v>90</v>
      </c>
    </row>
    <row r="160" spans="6:9" ht="11.25" customHeight="1" x14ac:dyDescent="0.15">
      <c r="F160" s="15"/>
      <c r="I160" s="4" t="s">
        <v>91</v>
      </c>
    </row>
    <row r="161" spans="6:9" ht="11.25" customHeight="1" x14ac:dyDescent="0.15">
      <c r="F161" s="15"/>
    </row>
    <row r="162" spans="6:9" ht="11.25" customHeight="1" x14ac:dyDescent="0.15">
      <c r="F162" s="15"/>
    </row>
    <row r="163" spans="6:9" ht="11.25" customHeight="1" x14ac:dyDescent="0.15">
      <c r="F163" s="15"/>
    </row>
    <row r="164" spans="6:9" ht="11.25" customHeight="1" x14ac:dyDescent="0.15">
      <c r="F164" s="15"/>
    </row>
    <row r="165" spans="6:9" ht="11.25" customHeight="1" x14ac:dyDescent="0.15">
      <c r="F165" s="15"/>
    </row>
    <row r="166" spans="6:9" ht="11.25" customHeight="1" x14ac:dyDescent="0.15">
      <c r="F166" s="15"/>
    </row>
    <row r="167" spans="6:9" ht="11.25" customHeight="1" x14ac:dyDescent="0.15">
      <c r="F167" s="15"/>
    </row>
    <row r="168" spans="6:9" ht="11.25" customHeight="1" x14ac:dyDescent="0.15">
      <c r="F168" s="15"/>
    </row>
    <row r="169" spans="6:9" ht="11.25" customHeight="1" x14ac:dyDescent="0.15">
      <c r="F169" s="15"/>
    </row>
    <row r="170" spans="6:9" ht="11.25" customHeight="1" x14ac:dyDescent="0.15">
      <c r="F170" s="15"/>
    </row>
    <row r="171" spans="6:9" ht="11.25" customHeight="1" x14ac:dyDescent="0.15">
      <c r="F171" s="15"/>
    </row>
    <row r="172" spans="6:9" ht="11.25" customHeight="1" x14ac:dyDescent="0.15">
      <c r="F172" s="15"/>
    </row>
    <row r="173" spans="6:9" ht="11.25" customHeight="1" x14ac:dyDescent="0.15">
      <c r="F173" s="15"/>
    </row>
    <row r="174" spans="6:9" ht="11.25" customHeight="1" x14ac:dyDescent="0.15">
      <c r="F174" s="15"/>
    </row>
    <row r="175" spans="6:9" ht="11.25" customHeight="1" x14ac:dyDescent="0.15">
      <c r="F175" s="15"/>
    </row>
    <row r="176" spans="6:9" ht="11.25" customHeight="1" x14ac:dyDescent="0.15">
      <c r="F176" s="15"/>
      <c r="H176" s="15" t="s">
        <v>92</v>
      </c>
      <c r="I176" s="4" t="s">
        <v>61</v>
      </c>
    </row>
    <row r="177" spans="6:10" ht="11.25" customHeight="1" x14ac:dyDescent="0.15">
      <c r="F177" s="15"/>
      <c r="I177" s="15" t="s">
        <v>93</v>
      </c>
      <c r="J177" s="4" t="s">
        <v>63</v>
      </c>
    </row>
    <row r="178" spans="6:10" ht="11.25" customHeight="1" x14ac:dyDescent="0.15">
      <c r="F178" s="15"/>
      <c r="J178" s="4" t="s">
        <v>94</v>
      </c>
    </row>
    <row r="179" spans="6:10" ht="11.25" customHeight="1" x14ac:dyDescent="0.15">
      <c r="F179" s="15"/>
    </row>
    <row r="180" spans="6:10" ht="11.25" customHeight="1" x14ac:dyDescent="0.15">
      <c r="F180" s="15"/>
      <c r="G180" s="15" t="s">
        <v>95</v>
      </c>
      <c r="H180" s="4" t="s">
        <v>96</v>
      </c>
    </row>
    <row r="181" spans="6:10" ht="11.25" customHeight="1" x14ac:dyDescent="0.15">
      <c r="F181" s="15"/>
      <c r="H181" s="4" t="s">
        <v>97</v>
      </c>
    </row>
    <row r="182" spans="6:10" ht="11.25" customHeight="1" x14ac:dyDescent="0.15">
      <c r="F182" s="15"/>
      <c r="H182" s="4" t="s">
        <v>98</v>
      </c>
    </row>
    <row r="183" spans="6:10" ht="11.25" customHeight="1" x14ac:dyDescent="0.15">
      <c r="F183" s="15"/>
    </row>
    <row r="184" spans="6:10" ht="11.25" customHeight="1" x14ac:dyDescent="0.15">
      <c r="F184" s="15"/>
      <c r="H184" s="15" t="s">
        <v>99</v>
      </c>
      <c r="I184" s="4" t="s">
        <v>50</v>
      </c>
    </row>
    <row r="185" spans="6:10" ht="11.25" customHeight="1" x14ac:dyDescent="0.15">
      <c r="F185" s="15"/>
      <c r="I185" s="4" t="s">
        <v>100</v>
      </c>
    </row>
    <row r="186" spans="6:10" ht="11.25" customHeight="1" x14ac:dyDescent="0.15">
      <c r="F186" s="15"/>
      <c r="I186" s="4" t="s">
        <v>101</v>
      </c>
    </row>
    <row r="187" spans="6:10" ht="11.25" customHeight="1" x14ac:dyDescent="0.15">
      <c r="F187" s="15"/>
      <c r="I187" s="4" t="s">
        <v>102</v>
      </c>
    </row>
    <row r="188" spans="6:10" ht="11.25" customHeight="1" x14ac:dyDescent="0.15">
      <c r="F188" s="15"/>
    </row>
    <row r="189" spans="6:10" ht="11.25" customHeight="1" x14ac:dyDescent="0.15">
      <c r="F189" s="15"/>
    </row>
    <row r="190" spans="6:10" ht="11.25" customHeight="1" x14ac:dyDescent="0.15">
      <c r="F190" s="15"/>
    </row>
    <row r="191" spans="6:10" ht="11.25" customHeight="1" x14ac:dyDescent="0.15">
      <c r="F191" s="15"/>
    </row>
    <row r="192" spans="6:10" ht="11.25" customHeight="1" x14ac:dyDescent="0.15">
      <c r="F192" s="15"/>
    </row>
    <row r="193" spans="6:9" ht="11.25" customHeight="1" x14ac:dyDescent="0.15">
      <c r="F193" s="15"/>
    </row>
    <row r="194" spans="6:9" ht="11.25" customHeight="1" x14ac:dyDescent="0.15">
      <c r="F194" s="15"/>
    </row>
    <row r="195" spans="6:9" ht="11.25" customHeight="1" x14ac:dyDescent="0.15">
      <c r="F195" s="15"/>
    </row>
    <row r="196" spans="6:9" ht="11.25" customHeight="1" x14ac:dyDescent="0.15">
      <c r="F196" s="15"/>
    </row>
    <row r="197" spans="6:9" ht="11.25" customHeight="1" x14ac:dyDescent="0.15">
      <c r="F197" s="15"/>
    </row>
    <row r="198" spans="6:9" ht="11.25" customHeight="1" x14ac:dyDescent="0.15">
      <c r="F198" s="15"/>
    </row>
    <row r="199" spans="6:9" ht="11.25" customHeight="1" x14ac:dyDescent="0.15">
      <c r="F199" s="15"/>
    </row>
    <row r="200" spans="6:9" ht="11.25" customHeight="1" x14ac:dyDescent="0.15">
      <c r="F200" s="15"/>
      <c r="H200" s="15" t="s">
        <v>103</v>
      </c>
      <c r="I200" s="4" t="s">
        <v>54</v>
      </c>
    </row>
    <row r="201" spans="6:9" ht="11.25" customHeight="1" x14ac:dyDescent="0.15">
      <c r="F201" s="15"/>
      <c r="I201" s="19" t="s">
        <v>104</v>
      </c>
    </row>
    <row r="202" spans="6:9" ht="11.25" customHeight="1" x14ac:dyDescent="0.15">
      <c r="F202" s="15"/>
    </row>
    <row r="203" spans="6:9" ht="11.25" customHeight="1" x14ac:dyDescent="0.15">
      <c r="F203" s="15"/>
    </row>
    <row r="204" spans="6:9" ht="11.25" customHeight="1" x14ac:dyDescent="0.15">
      <c r="F204" s="15"/>
    </row>
    <row r="205" spans="6:9" ht="11.25" customHeight="1" x14ac:dyDescent="0.15">
      <c r="F205" s="15"/>
      <c r="H205" s="15" t="s">
        <v>105</v>
      </c>
      <c r="I205" s="4" t="s">
        <v>90</v>
      </c>
    </row>
    <row r="206" spans="6:9" ht="11.25" customHeight="1" x14ac:dyDescent="0.15">
      <c r="F206" s="15"/>
      <c r="I206" s="4" t="s">
        <v>106</v>
      </c>
    </row>
    <row r="207" spans="6:9" ht="11.25" customHeight="1" x14ac:dyDescent="0.15">
      <c r="F207" s="15"/>
    </row>
    <row r="208" spans="6:9" ht="11.25" customHeight="1" x14ac:dyDescent="0.15">
      <c r="F208" s="15"/>
    </row>
    <row r="209" spans="6:6" ht="11.25" customHeight="1" x14ac:dyDescent="0.15">
      <c r="F209" s="15"/>
    </row>
    <row r="210" spans="6:6" ht="11.25" customHeight="1" x14ac:dyDescent="0.15">
      <c r="F210" s="15"/>
    </row>
    <row r="211" spans="6:6" ht="11.25" customHeight="1" x14ac:dyDescent="0.15">
      <c r="F211" s="15"/>
    </row>
    <row r="212" spans="6:6" ht="11.25" customHeight="1" x14ac:dyDescent="0.15">
      <c r="F212" s="15"/>
    </row>
    <row r="213" spans="6:6" ht="11.25" customHeight="1" x14ac:dyDescent="0.15">
      <c r="F213" s="15"/>
    </row>
    <row r="214" spans="6:6" ht="11.25" customHeight="1" x14ac:dyDescent="0.15">
      <c r="F214" s="15"/>
    </row>
    <row r="215" spans="6:6" ht="11.25" customHeight="1" x14ac:dyDescent="0.15">
      <c r="F215" s="15"/>
    </row>
    <row r="216" spans="6:6" ht="11.25" customHeight="1" x14ac:dyDescent="0.15">
      <c r="F216" s="15"/>
    </row>
    <row r="217" spans="6:6" ht="11.25" customHeight="1" x14ac:dyDescent="0.15">
      <c r="F217" s="15"/>
    </row>
    <row r="218" spans="6:6" ht="11.25" customHeight="1" x14ac:dyDescent="0.15">
      <c r="F218" s="15"/>
    </row>
    <row r="219" spans="6:6" ht="11.25" customHeight="1" x14ac:dyDescent="0.15">
      <c r="F219" s="15"/>
    </row>
    <row r="220" spans="6:6" ht="11.25" customHeight="1" x14ac:dyDescent="0.15">
      <c r="F220" s="15"/>
    </row>
    <row r="221" spans="6:6" ht="11.25" customHeight="1" x14ac:dyDescent="0.15">
      <c r="F221" s="15"/>
    </row>
    <row r="222" spans="6:6" ht="11.25" customHeight="1" x14ac:dyDescent="0.15">
      <c r="F222" s="15"/>
    </row>
    <row r="223" spans="6:6" ht="11.25" customHeight="1" x14ac:dyDescent="0.15">
      <c r="F223" s="15"/>
    </row>
    <row r="224" spans="6:6" ht="11.25" customHeight="1" x14ac:dyDescent="0.15">
      <c r="F224" s="15"/>
    </row>
    <row r="225" spans="6:10" ht="11.25" customHeight="1" x14ac:dyDescent="0.15">
      <c r="F225" s="15"/>
    </row>
    <row r="226" spans="6:10" ht="11.25" customHeight="1" x14ac:dyDescent="0.15">
      <c r="F226" s="15"/>
    </row>
    <row r="227" spans="6:10" ht="11.25" customHeight="1" x14ac:dyDescent="0.15">
      <c r="F227" s="15"/>
    </row>
    <row r="228" spans="6:10" ht="11.25" customHeight="1" x14ac:dyDescent="0.15">
      <c r="F228" s="15"/>
    </row>
    <row r="229" spans="6:10" ht="11.25" customHeight="1" x14ac:dyDescent="0.15">
      <c r="F229" s="15"/>
    </row>
    <row r="230" spans="6:10" ht="11.25" customHeight="1" x14ac:dyDescent="0.15">
      <c r="F230" s="15"/>
    </row>
    <row r="231" spans="6:10" ht="11.25" customHeight="1" x14ac:dyDescent="0.15">
      <c r="F231" s="15"/>
      <c r="H231" s="15" t="s">
        <v>107</v>
      </c>
      <c r="I231" s="4" t="s">
        <v>61</v>
      </c>
    </row>
    <row r="232" spans="6:10" ht="11.25" customHeight="1" x14ac:dyDescent="0.15">
      <c r="F232" s="15"/>
      <c r="I232" s="15" t="s">
        <v>108</v>
      </c>
      <c r="J232" s="4" t="s">
        <v>63</v>
      </c>
    </row>
    <row r="233" spans="6:10" ht="11.25" customHeight="1" x14ac:dyDescent="0.15">
      <c r="F233" s="15"/>
      <c r="J233" s="4" t="s">
        <v>109</v>
      </c>
    </row>
    <row r="234" spans="6:10" ht="11.25" customHeight="1" x14ac:dyDescent="0.15">
      <c r="F234" s="15"/>
      <c r="J234" s="4" t="s">
        <v>110</v>
      </c>
    </row>
    <row r="235" spans="6:10" ht="11.25" customHeight="1" x14ac:dyDescent="0.15">
      <c r="F235" s="15"/>
      <c r="J235" s="4" t="s">
        <v>111</v>
      </c>
    </row>
    <row r="236" spans="6:10" ht="11.25" customHeight="1" x14ac:dyDescent="0.15">
      <c r="F236" s="15"/>
    </row>
    <row r="237" spans="6:10" ht="11.25" customHeight="1" x14ac:dyDescent="0.15">
      <c r="F237" s="15"/>
      <c r="I237" s="15" t="s">
        <v>112</v>
      </c>
      <c r="J237" s="4" t="s">
        <v>113</v>
      </c>
    </row>
    <row r="238" spans="6:10" ht="11.25" customHeight="1" x14ac:dyDescent="0.15">
      <c r="F238" s="15"/>
      <c r="J238" s="4" t="s">
        <v>114</v>
      </c>
    </row>
    <row r="239" spans="6:10" ht="11.25" customHeight="1" x14ac:dyDescent="0.15">
      <c r="F239" s="15"/>
      <c r="J239" s="4" t="s">
        <v>115</v>
      </c>
    </row>
    <row r="240" spans="6:10" ht="11.25" customHeight="1" x14ac:dyDescent="0.15">
      <c r="F240" s="15"/>
    </row>
    <row r="241" spans="6:8" ht="11.25" customHeight="1" x14ac:dyDescent="0.15">
      <c r="F241" s="15" t="s">
        <v>116</v>
      </c>
      <c r="G241" s="4" t="s">
        <v>117</v>
      </c>
    </row>
    <row r="242" spans="6:8" ht="11.25" customHeight="1" x14ac:dyDescent="0.15">
      <c r="F242" s="15"/>
      <c r="G242" s="4" t="s">
        <v>118</v>
      </c>
    </row>
    <row r="243" spans="6:8" ht="11.25" customHeight="1" x14ac:dyDescent="0.15">
      <c r="F243" s="15"/>
      <c r="G243" s="4" t="s">
        <v>119</v>
      </c>
    </row>
    <row r="244" spans="6:8" ht="11.25" customHeight="1" x14ac:dyDescent="0.15">
      <c r="F244" s="15"/>
      <c r="G244" s="4" t="s">
        <v>120</v>
      </c>
    </row>
    <row r="245" spans="6:8" ht="11.25" customHeight="1" x14ac:dyDescent="0.15">
      <c r="F245" s="15"/>
      <c r="G245" s="4" t="s">
        <v>121</v>
      </c>
    </row>
    <row r="246" spans="6:8" ht="11.25" customHeight="1" x14ac:dyDescent="0.15">
      <c r="F246" s="15"/>
      <c r="G246" s="4" t="s">
        <v>122</v>
      </c>
    </row>
    <row r="247" spans="6:8" ht="11.25" customHeight="1" x14ac:dyDescent="0.15">
      <c r="F247" s="15"/>
    </row>
    <row r="248" spans="6:8" ht="11.25" customHeight="1" x14ac:dyDescent="0.15">
      <c r="F248" s="15"/>
    </row>
    <row r="249" spans="6:8" ht="11.25" customHeight="1" x14ac:dyDescent="0.15">
      <c r="F249" s="15"/>
      <c r="G249" s="15" t="s">
        <v>123</v>
      </c>
      <c r="H249" s="4" t="s">
        <v>54</v>
      </c>
    </row>
    <row r="250" spans="6:8" ht="11.25" customHeight="1" x14ac:dyDescent="0.15">
      <c r="F250" s="15"/>
      <c r="H250" s="4" t="s">
        <v>124</v>
      </c>
    </row>
    <row r="251" spans="6:8" ht="11.25" customHeight="1" x14ac:dyDescent="0.15">
      <c r="F251" s="15"/>
      <c r="H251" s="4" t="s">
        <v>125</v>
      </c>
    </row>
    <row r="252" spans="6:8" ht="11.25" customHeight="1" x14ac:dyDescent="0.15">
      <c r="F252" s="15"/>
    </row>
    <row r="253" spans="6:8" ht="11.25" customHeight="1" x14ac:dyDescent="0.15">
      <c r="F253" s="15"/>
    </row>
    <row r="254" spans="6:8" ht="11.25" customHeight="1" x14ac:dyDescent="0.15">
      <c r="F254" s="15"/>
    </row>
    <row r="255" spans="6:8" ht="11.25" customHeight="1" x14ac:dyDescent="0.15">
      <c r="F255" s="15"/>
    </row>
    <row r="256" spans="6:8" ht="11.25" customHeight="1" x14ac:dyDescent="0.15">
      <c r="F256" s="15"/>
    </row>
    <row r="257" spans="6:8" ht="11.25" customHeight="1" x14ac:dyDescent="0.15">
      <c r="F257" s="15"/>
    </row>
    <row r="258" spans="6:8" ht="11.25" customHeight="1" x14ac:dyDescent="0.15">
      <c r="F258" s="15"/>
    </row>
    <row r="259" spans="6:8" ht="11.25" customHeight="1" x14ac:dyDescent="0.15">
      <c r="F259" s="15"/>
    </row>
    <row r="260" spans="6:8" ht="11.25" customHeight="1" x14ac:dyDescent="0.15">
      <c r="F260" s="15"/>
    </row>
    <row r="261" spans="6:8" ht="11.25" customHeight="1" x14ac:dyDescent="0.15">
      <c r="F261" s="15"/>
    </row>
    <row r="262" spans="6:8" ht="11.25" customHeight="1" x14ac:dyDescent="0.15">
      <c r="F262" s="15"/>
    </row>
    <row r="263" spans="6:8" ht="11.25" customHeight="1" x14ac:dyDescent="0.15">
      <c r="F263" s="15"/>
    </row>
    <row r="264" spans="6:8" ht="11.25" customHeight="1" x14ac:dyDescent="0.15">
      <c r="F264" s="15"/>
    </row>
    <row r="265" spans="6:8" ht="11.25" customHeight="1" x14ac:dyDescent="0.15">
      <c r="F265" s="15"/>
      <c r="G265" s="15" t="s">
        <v>202</v>
      </c>
      <c r="H265" s="4" t="s">
        <v>90</v>
      </c>
    </row>
    <row r="266" spans="6:8" ht="11.25" customHeight="1" x14ac:dyDescent="0.15">
      <c r="F266" s="15"/>
      <c r="H266" s="4" t="s">
        <v>203</v>
      </c>
    </row>
    <row r="267" spans="6:8" ht="11.25" customHeight="1" x14ac:dyDescent="0.15">
      <c r="F267" s="15"/>
    </row>
    <row r="268" spans="6:8" ht="11.25" customHeight="1" x14ac:dyDescent="0.15">
      <c r="F268" s="15"/>
    </row>
    <row r="269" spans="6:8" ht="11.25" customHeight="1" x14ac:dyDescent="0.15">
      <c r="F269" s="15"/>
    </row>
    <row r="270" spans="6:8" ht="11.25" customHeight="1" x14ac:dyDescent="0.15">
      <c r="F270" s="15"/>
    </row>
    <row r="271" spans="6:8" ht="11.25" customHeight="1" x14ac:dyDescent="0.15">
      <c r="F271" s="15"/>
    </row>
    <row r="272" spans="6:8" ht="11.25" customHeight="1" x14ac:dyDescent="0.15">
      <c r="F272" s="15"/>
    </row>
    <row r="273" spans="4:9" ht="11.25" customHeight="1" x14ac:dyDescent="0.15">
      <c r="F273" s="15"/>
    </row>
    <row r="274" spans="4:9" ht="11.25" customHeight="1" x14ac:dyDescent="0.15">
      <c r="F274" s="15"/>
    </row>
    <row r="275" spans="4:9" ht="11.25" customHeight="1" x14ac:dyDescent="0.15">
      <c r="F275" s="15"/>
    </row>
    <row r="276" spans="4:9" ht="11.25" customHeight="1" x14ac:dyDescent="0.15">
      <c r="F276" s="15"/>
    </row>
    <row r="277" spans="4:9" ht="11.25" customHeight="1" x14ac:dyDescent="0.15">
      <c r="F277" s="15"/>
    </row>
    <row r="278" spans="4:9" ht="11.25" customHeight="1" x14ac:dyDescent="0.15">
      <c r="F278" s="15"/>
      <c r="G278" s="15" t="s">
        <v>204</v>
      </c>
      <c r="H278" s="4" t="s">
        <v>61</v>
      </c>
    </row>
    <row r="279" spans="4:9" ht="11.25" customHeight="1" x14ac:dyDescent="0.15">
      <c r="F279" s="15"/>
      <c r="H279" s="15" t="s">
        <v>205</v>
      </c>
      <c r="I279" s="4" t="s">
        <v>206</v>
      </c>
    </row>
    <row r="280" spans="4:9" ht="11.25" customHeight="1" x14ac:dyDescent="0.15">
      <c r="F280" s="15"/>
      <c r="I280" s="4" t="s">
        <v>209</v>
      </c>
    </row>
    <row r="281" spans="4:9" ht="11.25" customHeight="1" x14ac:dyDescent="0.15">
      <c r="F281" s="15"/>
      <c r="I281" s="4" t="s">
        <v>207</v>
      </c>
    </row>
    <row r="282" spans="4:9" ht="11.25" customHeight="1" x14ac:dyDescent="0.15">
      <c r="F282" s="15"/>
    </row>
    <row r="283" spans="4:9" ht="11.25" customHeight="1" x14ac:dyDescent="0.15">
      <c r="D283" s="15" t="str">
        <f>$C$7&amp;"2."</f>
        <v>7.5.2.</v>
      </c>
      <c r="E283" s="4" t="s">
        <v>126</v>
      </c>
    </row>
    <row r="284" spans="4:9" ht="11.25" customHeight="1" x14ac:dyDescent="0.15">
      <c r="D284" s="15"/>
      <c r="E284" s="15" t="str">
        <f>$D$283&amp;"1."</f>
        <v>7.5.2.1.</v>
      </c>
      <c r="F284" s="4" t="str">
        <f>$E$283&amp;"機能概要"</f>
        <v>認可機能概要</v>
      </c>
    </row>
    <row r="285" spans="4:9" ht="11.25" customHeight="1" x14ac:dyDescent="0.15">
      <c r="D285" s="15"/>
      <c r="F285" s="4" t="s">
        <v>127</v>
      </c>
    </row>
    <row r="286" spans="4:9" ht="11.25" customHeight="1" x14ac:dyDescent="0.15">
      <c r="D286" s="15"/>
      <c r="F286" s="4" t="s">
        <v>128</v>
      </c>
    </row>
    <row r="287" spans="4:9" ht="11.25" customHeight="1" x14ac:dyDescent="0.15">
      <c r="D287" s="15"/>
    </row>
    <row r="288" spans="4:9" ht="11.25" customHeight="1" x14ac:dyDescent="0.15">
      <c r="D288" s="15"/>
      <c r="E288" s="15" t="str">
        <f>$D$283&amp;"2."</f>
        <v>7.5.2.2.</v>
      </c>
      <c r="F288" s="4" t="str">
        <f>$E$283&amp;"方法"</f>
        <v>認可方法</v>
      </c>
    </row>
    <row r="289" spans="4:34" ht="11.25" customHeight="1" x14ac:dyDescent="0.15"/>
    <row r="290" spans="4:34" ht="11.25" customHeight="1" x14ac:dyDescent="0.15"/>
    <row r="291" spans="4:34" ht="11.25" customHeight="1" x14ac:dyDescent="0.15">
      <c r="F291" s="16" t="s">
        <v>19</v>
      </c>
      <c r="G291" s="17"/>
      <c r="H291" s="17"/>
      <c r="I291" s="17"/>
      <c r="J291" s="18"/>
      <c r="K291" s="17" t="s">
        <v>20</v>
      </c>
      <c r="L291" s="17"/>
      <c r="M291" s="17"/>
      <c r="N291" s="17"/>
      <c r="O291" s="16" t="s">
        <v>129</v>
      </c>
      <c r="P291" s="17"/>
      <c r="Q291" s="17"/>
      <c r="R291" s="17"/>
      <c r="S291" s="17"/>
      <c r="T291" s="17"/>
      <c r="U291" s="18"/>
      <c r="V291" s="17" t="s">
        <v>22</v>
      </c>
      <c r="W291" s="17"/>
      <c r="X291" s="17"/>
      <c r="Y291" s="17"/>
      <c r="Z291" s="17"/>
      <c r="AA291" s="17"/>
      <c r="AB291" s="17"/>
      <c r="AC291" s="17"/>
      <c r="AD291" s="17"/>
      <c r="AE291" s="17"/>
      <c r="AF291" s="17"/>
      <c r="AG291" s="17"/>
      <c r="AH291" s="18"/>
    </row>
    <row r="292" spans="4:34" ht="11.25" customHeight="1" x14ac:dyDescent="0.15">
      <c r="F292" s="38" t="s">
        <v>23</v>
      </c>
      <c r="G292" s="32"/>
      <c r="H292" s="32"/>
      <c r="I292" s="32"/>
      <c r="J292" s="33"/>
      <c r="K292" s="4" t="s">
        <v>24</v>
      </c>
      <c r="O292" s="38" t="s">
        <v>130</v>
      </c>
      <c r="P292" s="32"/>
      <c r="Q292" s="32"/>
      <c r="R292" s="32"/>
      <c r="S292" s="32"/>
      <c r="T292" s="32"/>
      <c r="U292" s="33"/>
      <c r="V292" s="4" t="s">
        <v>131</v>
      </c>
      <c r="AH292" s="28"/>
    </row>
    <row r="293" spans="4:34" ht="11.25" customHeight="1" x14ac:dyDescent="0.15">
      <c r="F293" s="27"/>
      <c r="J293" s="28"/>
      <c r="O293" s="27"/>
      <c r="U293" s="28"/>
      <c r="AH293" s="28"/>
    </row>
    <row r="294" spans="4:34" ht="11.25" customHeight="1" x14ac:dyDescent="0.15">
      <c r="F294" s="29"/>
      <c r="G294" s="30"/>
      <c r="H294" s="30"/>
      <c r="I294" s="30"/>
      <c r="J294" s="31"/>
      <c r="O294" s="29"/>
      <c r="P294" s="30"/>
      <c r="Q294" s="30"/>
      <c r="R294" s="30"/>
      <c r="S294" s="30"/>
      <c r="T294" s="30"/>
      <c r="U294" s="31"/>
      <c r="V294" s="30"/>
      <c r="AH294" s="28"/>
    </row>
    <row r="295" spans="4:34" ht="11.25" customHeight="1" x14ac:dyDescent="0.15">
      <c r="F295" s="38" t="s">
        <v>23</v>
      </c>
      <c r="G295" s="32"/>
      <c r="H295" s="32"/>
      <c r="I295" s="32"/>
      <c r="J295" s="33"/>
      <c r="K295" s="32" t="s">
        <v>29</v>
      </c>
      <c r="L295" s="32"/>
      <c r="M295" s="32"/>
      <c r="N295" s="32"/>
      <c r="O295" s="38" t="s">
        <v>130</v>
      </c>
      <c r="P295" s="32"/>
      <c r="Q295" s="32"/>
      <c r="R295" s="32"/>
      <c r="S295" s="32"/>
      <c r="T295" s="32"/>
      <c r="U295" s="33"/>
      <c r="V295" s="4" t="s">
        <v>131</v>
      </c>
      <c r="W295" s="32"/>
      <c r="X295" s="32"/>
      <c r="Y295" s="32"/>
      <c r="Z295" s="32"/>
      <c r="AA295" s="32"/>
      <c r="AB295" s="32"/>
      <c r="AC295" s="32"/>
      <c r="AD295" s="32"/>
      <c r="AE295" s="32"/>
      <c r="AF295" s="32"/>
      <c r="AG295" s="32"/>
      <c r="AH295" s="33"/>
    </row>
    <row r="296" spans="4:34" ht="11.25" customHeight="1" x14ac:dyDescent="0.15">
      <c r="F296" s="27"/>
      <c r="J296" s="28"/>
      <c r="O296" s="27"/>
      <c r="U296" s="28"/>
      <c r="AH296" s="28"/>
    </row>
    <row r="297" spans="4:34" ht="11.25" customHeight="1" x14ac:dyDescent="0.15">
      <c r="F297" s="29"/>
      <c r="G297" s="30"/>
      <c r="H297" s="30"/>
      <c r="I297" s="30"/>
      <c r="J297" s="31"/>
      <c r="O297" s="27"/>
      <c r="U297" s="28"/>
      <c r="AH297" s="28"/>
    </row>
    <row r="298" spans="4:34" ht="11.25" customHeight="1" x14ac:dyDescent="0.15">
      <c r="F298" s="38" t="s">
        <v>38</v>
      </c>
      <c r="G298" s="32"/>
      <c r="H298" s="32"/>
      <c r="I298" s="32"/>
      <c r="J298" s="33"/>
      <c r="K298" s="38" t="s">
        <v>39</v>
      </c>
      <c r="L298" s="32"/>
      <c r="M298" s="32"/>
      <c r="N298" s="33"/>
      <c r="O298" s="38" t="s">
        <v>132</v>
      </c>
      <c r="P298" s="32"/>
      <c r="Q298" s="32"/>
      <c r="R298" s="32"/>
      <c r="S298" s="32"/>
      <c r="T298" s="32"/>
      <c r="U298" s="33"/>
      <c r="V298" s="38" t="s">
        <v>210</v>
      </c>
      <c r="W298" s="32"/>
      <c r="X298" s="32"/>
      <c r="Y298" s="32"/>
      <c r="Z298" s="32"/>
      <c r="AA298" s="32"/>
      <c r="AB298" s="32"/>
      <c r="AC298" s="32"/>
      <c r="AD298" s="32"/>
      <c r="AE298" s="32"/>
      <c r="AF298" s="32"/>
      <c r="AG298" s="32"/>
      <c r="AH298" s="33"/>
    </row>
    <row r="299" spans="4:34" ht="11.25" customHeight="1" x14ac:dyDescent="0.15">
      <c r="F299" s="27"/>
      <c r="J299" s="28"/>
      <c r="K299" s="27"/>
      <c r="N299" s="28"/>
      <c r="O299" s="27"/>
      <c r="U299" s="28"/>
      <c r="V299" s="27"/>
      <c r="AH299" s="28"/>
    </row>
    <row r="300" spans="4:34" ht="11.25" customHeight="1" x14ac:dyDescent="0.15">
      <c r="D300" s="15"/>
      <c r="F300" s="29"/>
      <c r="G300" s="30"/>
      <c r="H300" s="30"/>
      <c r="I300" s="30"/>
      <c r="J300" s="31"/>
      <c r="K300" s="29"/>
      <c r="L300" s="30"/>
      <c r="M300" s="30"/>
      <c r="N300" s="31"/>
      <c r="O300" s="29"/>
      <c r="P300" s="30"/>
      <c r="Q300" s="30"/>
      <c r="R300" s="30"/>
      <c r="S300" s="30"/>
      <c r="T300" s="30"/>
      <c r="U300" s="31"/>
      <c r="V300" s="29"/>
      <c r="W300" s="30"/>
      <c r="X300" s="30"/>
      <c r="Y300" s="30"/>
      <c r="Z300" s="30"/>
      <c r="AA300" s="30"/>
      <c r="AB300" s="30"/>
      <c r="AC300" s="30"/>
      <c r="AD300" s="30"/>
      <c r="AE300" s="30"/>
      <c r="AF300" s="30"/>
      <c r="AG300" s="30"/>
      <c r="AH300" s="31"/>
    </row>
    <row r="301" spans="4:34" ht="11.25" customHeight="1" x14ac:dyDescent="0.15">
      <c r="D301" s="15"/>
    </row>
    <row r="302" spans="4:34" ht="11.25" customHeight="1" x14ac:dyDescent="0.15">
      <c r="D302" s="15"/>
    </row>
    <row r="303" spans="4:34" ht="11.25" customHeight="1" x14ac:dyDescent="0.15">
      <c r="D303" s="15"/>
      <c r="E303" s="15" t="str">
        <f>$D$283&amp;"3."</f>
        <v>7.5.2.3.</v>
      </c>
      <c r="F303" s="4" t="str">
        <f>$E$283&amp;"機能詳細"</f>
        <v>認可機能詳細</v>
      </c>
    </row>
    <row r="304" spans="4:34" ht="11.25" customHeight="1" x14ac:dyDescent="0.15">
      <c r="D304" s="15"/>
      <c r="E304" s="15"/>
      <c r="F304" s="4" t="s">
        <v>133</v>
      </c>
    </row>
    <row r="305" spans="4:7" ht="11.25" customHeight="1" x14ac:dyDescent="0.15">
      <c r="D305" s="15"/>
      <c r="E305" s="15"/>
      <c r="F305" s="4" t="s">
        <v>134</v>
      </c>
    </row>
    <row r="306" spans="4:7" ht="11.25" customHeight="1" x14ac:dyDescent="0.15">
      <c r="D306" s="15"/>
      <c r="E306" s="15"/>
    </row>
    <row r="307" spans="4:7" ht="11.25" customHeight="1" x14ac:dyDescent="0.15">
      <c r="D307" s="15"/>
      <c r="E307" s="15"/>
    </row>
    <row r="308" spans="4:7" ht="11.25" customHeight="1" x14ac:dyDescent="0.15">
      <c r="D308" s="15"/>
      <c r="E308" s="15"/>
    </row>
    <row r="309" spans="4:7" ht="11.25" customHeight="1" x14ac:dyDescent="0.15">
      <c r="D309" s="15"/>
      <c r="E309" s="15"/>
    </row>
    <row r="310" spans="4:7" ht="11.25" customHeight="1" x14ac:dyDescent="0.15">
      <c r="D310" s="15"/>
      <c r="E310" s="15"/>
    </row>
    <row r="311" spans="4:7" ht="11.25" customHeight="1" x14ac:dyDescent="0.15">
      <c r="D311" s="15"/>
      <c r="E311" s="15"/>
    </row>
    <row r="312" spans="4:7" ht="11.25" customHeight="1" x14ac:dyDescent="0.15">
      <c r="D312" s="15"/>
      <c r="E312" s="15"/>
    </row>
    <row r="313" spans="4:7" ht="11.25" customHeight="1" x14ac:dyDescent="0.15">
      <c r="D313" s="15"/>
      <c r="E313" s="15"/>
    </row>
    <row r="314" spans="4:7" ht="11.25" customHeight="1" x14ac:dyDescent="0.15">
      <c r="D314" s="15"/>
      <c r="E314" s="15"/>
    </row>
    <row r="315" spans="4:7" ht="11.25" customHeight="1" x14ac:dyDescent="0.15">
      <c r="D315" s="15"/>
      <c r="E315" s="15"/>
    </row>
    <row r="316" spans="4:7" ht="11.25" customHeight="1" x14ac:dyDescent="0.15">
      <c r="D316" s="15"/>
      <c r="E316" s="15"/>
    </row>
    <row r="317" spans="4:7" ht="11.25" customHeight="1" x14ac:dyDescent="0.15">
      <c r="D317" s="15"/>
      <c r="E317" s="15"/>
    </row>
    <row r="318" spans="4:7" ht="11.25" customHeight="1" x14ac:dyDescent="0.15">
      <c r="D318" s="15"/>
      <c r="E318" s="15"/>
      <c r="G318" s="4" t="s">
        <v>218</v>
      </c>
    </row>
    <row r="319" spans="4:7" ht="11.25" customHeight="1" x14ac:dyDescent="0.15">
      <c r="D319" s="15"/>
      <c r="E319" s="15"/>
    </row>
    <row r="320" spans="4:7" ht="11.25" customHeight="1" x14ac:dyDescent="0.15">
      <c r="D320" s="15"/>
      <c r="E320" s="15"/>
      <c r="G320" s="46" t="s">
        <v>217</v>
      </c>
    </row>
    <row r="321" spans="4:27" ht="11.25" customHeight="1" x14ac:dyDescent="0.15">
      <c r="D321" s="15"/>
      <c r="E321" s="15"/>
    </row>
    <row r="322" spans="4:27" ht="11.25" customHeight="1" x14ac:dyDescent="0.15">
      <c r="D322" s="15"/>
      <c r="E322" s="15"/>
      <c r="F322" s="19" t="s">
        <v>135</v>
      </c>
      <c r="G322" s="4" t="s">
        <v>136</v>
      </c>
    </row>
    <row r="323" spans="4:27" ht="11.25" customHeight="1" x14ac:dyDescent="0.15">
      <c r="D323" s="15"/>
      <c r="E323" s="15"/>
      <c r="G323" s="4" t="s">
        <v>137</v>
      </c>
    </row>
    <row r="324" spans="4:27" ht="11.25" customHeight="1" x14ac:dyDescent="0.15">
      <c r="D324" s="15"/>
      <c r="E324" s="15"/>
      <c r="G324" s="4" t="s">
        <v>138</v>
      </c>
    </row>
    <row r="325" spans="4:27" ht="11.25" customHeight="1" x14ac:dyDescent="0.15">
      <c r="D325" s="15"/>
      <c r="E325" s="15"/>
      <c r="G325" s="4" t="s">
        <v>139</v>
      </c>
    </row>
    <row r="326" spans="4:27" ht="11.25" customHeight="1" x14ac:dyDescent="0.15">
      <c r="D326" s="15"/>
      <c r="E326" s="15"/>
      <c r="G326" s="4" t="s">
        <v>140</v>
      </c>
    </row>
    <row r="327" spans="4:27" ht="11.25" customHeight="1" x14ac:dyDescent="0.15">
      <c r="D327" s="15"/>
      <c r="E327" s="15"/>
    </row>
    <row r="328" spans="4:27" ht="11.25" customHeight="1" x14ac:dyDescent="0.15">
      <c r="D328" s="15"/>
      <c r="E328" s="15"/>
      <c r="F328" s="19" t="s">
        <v>141</v>
      </c>
      <c r="G328" s="4" t="s">
        <v>142</v>
      </c>
    </row>
    <row r="329" spans="4:27" ht="11.25" customHeight="1" x14ac:dyDescent="0.15">
      <c r="D329" s="15"/>
      <c r="E329" s="15"/>
      <c r="G329" s="4" t="s">
        <v>143</v>
      </c>
    </row>
    <row r="330" spans="4:27" ht="11.25" customHeight="1" x14ac:dyDescent="0.15">
      <c r="D330" s="15"/>
      <c r="E330" s="15"/>
      <c r="G330" s="4" t="s">
        <v>144</v>
      </c>
    </row>
    <row r="331" spans="4:27" ht="11.25" customHeight="1" x14ac:dyDescent="0.15">
      <c r="D331" s="15"/>
      <c r="E331" s="15"/>
      <c r="G331" s="4" t="s">
        <v>145</v>
      </c>
    </row>
    <row r="332" spans="4:27" ht="11.25" customHeight="1" x14ac:dyDescent="0.15">
      <c r="D332" s="15"/>
      <c r="E332" s="15"/>
    </row>
    <row r="333" spans="4:27" ht="11.25" customHeight="1" x14ac:dyDescent="0.15">
      <c r="D333" s="15"/>
      <c r="E333" s="15"/>
      <c r="G333" s="20" t="s">
        <v>146</v>
      </c>
    </row>
    <row r="334" spans="4:27" ht="11.25" customHeight="1" x14ac:dyDescent="0.15">
      <c r="D334" s="15"/>
      <c r="E334" s="15"/>
      <c r="H334" s="50" t="s">
        <v>147</v>
      </c>
      <c r="I334" s="50"/>
      <c r="J334" s="50"/>
      <c r="K334" s="50"/>
      <c r="L334" s="50" t="s">
        <v>148</v>
      </c>
      <c r="M334" s="50"/>
      <c r="N334" s="50"/>
      <c r="O334" s="50"/>
      <c r="P334" s="50"/>
      <c r="Q334" s="50"/>
      <c r="R334" s="50"/>
      <c r="S334" s="50"/>
      <c r="T334" s="50"/>
      <c r="U334" s="50"/>
      <c r="V334" s="50"/>
      <c r="W334" s="50"/>
      <c r="X334" s="50"/>
      <c r="Y334" s="50"/>
      <c r="Z334" s="50"/>
      <c r="AA334" s="50"/>
    </row>
    <row r="335" spans="4:27" ht="11.25" customHeight="1" x14ac:dyDescent="0.15">
      <c r="D335" s="15"/>
      <c r="E335" s="15"/>
      <c r="H335" s="49" t="s">
        <v>149</v>
      </c>
      <c r="I335" s="49"/>
      <c r="J335" s="49"/>
      <c r="K335" s="49"/>
      <c r="L335" s="49" t="s">
        <v>150</v>
      </c>
      <c r="M335" s="49"/>
      <c r="N335" s="49"/>
      <c r="O335" s="49"/>
      <c r="P335" s="49"/>
      <c r="Q335" s="49"/>
      <c r="R335" s="49"/>
      <c r="S335" s="49"/>
      <c r="T335" s="49"/>
      <c r="U335" s="49"/>
      <c r="V335" s="49"/>
      <c r="W335" s="49"/>
      <c r="X335" s="49"/>
      <c r="Y335" s="49"/>
      <c r="Z335" s="49"/>
      <c r="AA335" s="49"/>
    </row>
    <row r="336" spans="4:27" ht="11.25" customHeight="1" x14ac:dyDescent="0.15">
      <c r="D336" s="15"/>
      <c r="E336" s="15"/>
      <c r="H336" s="49" t="s">
        <v>151</v>
      </c>
      <c r="I336" s="49"/>
      <c r="J336" s="49"/>
      <c r="K336" s="49"/>
      <c r="L336" s="49"/>
      <c r="M336" s="49"/>
      <c r="N336" s="49"/>
      <c r="O336" s="49"/>
      <c r="P336" s="49"/>
      <c r="Q336" s="49"/>
      <c r="R336" s="49"/>
      <c r="S336" s="49"/>
      <c r="T336" s="49"/>
      <c r="U336" s="49"/>
      <c r="V336" s="49"/>
      <c r="W336" s="49"/>
      <c r="X336" s="49"/>
      <c r="Y336" s="49"/>
      <c r="Z336" s="49"/>
      <c r="AA336" s="49"/>
    </row>
    <row r="337" spans="4:27" ht="11.25" customHeight="1" x14ac:dyDescent="0.15">
      <c r="D337" s="15"/>
      <c r="E337" s="15"/>
      <c r="H337" s="49" t="s">
        <v>152</v>
      </c>
      <c r="I337" s="49"/>
      <c r="J337" s="49"/>
      <c r="K337" s="49"/>
      <c r="L337" s="49" t="s">
        <v>153</v>
      </c>
      <c r="M337" s="49"/>
      <c r="N337" s="49"/>
      <c r="O337" s="49"/>
      <c r="P337" s="49"/>
      <c r="Q337" s="49"/>
      <c r="R337" s="49"/>
      <c r="S337" s="49"/>
      <c r="T337" s="49"/>
      <c r="U337" s="49"/>
      <c r="V337" s="49"/>
      <c r="W337" s="49"/>
      <c r="X337" s="49"/>
      <c r="Y337" s="49"/>
      <c r="Z337" s="49"/>
      <c r="AA337" s="49"/>
    </row>
    <row r="338" spans="4:27" ht="11.25" customHeight="1" x14ac:dyDescent="0.15">
      <c r="D338" s="15"/>
      <c r="E338" s="15"/>
      <c r="H338" s="49" t="s">
        <v>154</v>
      </c>
      <c r="I338" s="49"/>
      <c r="J338" s="49"/>
      <c r="K338" s="49"/>
      <c r="L338" s="49"/>
      <c r="M338" s="49"/>
      <c r="N338" s="49"/>
      <c r="O338" s="49"/>
      <c r="P338" s="49"/>
      <c r="Q338" s="49"/>
      <c r="R338" s="49"/>
      <c r="S338" s="49"/>
      <c r="T338" s="49"/>
      <c r="U338" s="49"/>
      <c r="V338" s="49"/>
      <c r="W338" s="49"/>
      <c r="X338" s="49"/>
      <c r="Y338" s="49"/>
      <c r="Z338" s="49"/>
      <c r="AA338" s="49"/>
    </row>
    <row r="339" spans="4:27" ht="11.25" customHeight="1" x14ac:dyDescent="0.15">
      <c r="D339" s="15"/>
      <c r="E339" s="15"/>
      <c r="H339" s="49" t="s">
        <v>155</v>
      </c>
      <c r="I339" s="49"/>
      <c r="J339" s="49"/>
      <c r="K339" s="49"/>
      <c r="L339" s="49" t="s">
        <v>156</v>
      </c>
      <c r="M339" s="49"/>
      <c r="N339" s="49"/>
      <c r="O339" s="49"/>
      <c r="P339" s="49"/>
      <c r="Q339" s="49"/>
      <c r="R339" s="49"/>
      <c r="S339" s="49"/>
      <c r="T339" s="49"/>
      <c r="U339" s="49"/>
      <c r="V339" s="49"/>
      <c r="W339" s="49"/>
      <c r="X339" s="49"/>
      <c r="Y339" s="49"/>
      <c r="Z339" s="49"/>
      <c r="AA339" s="49"/>
    </row>
    <row r="340" spans="4:27" ht="11.25" customHeight="1" x14ac:dyDescent="0.15">
      <c r="D340" s="15"/>
      <c r="E340" s="15"/>
    </row>
    <row r="341" spans="4:27" ht="11.25" customHeight="1" x14ac:dyDescent="0.15">
      <c r="D341" s="15"/>
      <c r="E341" s="15"/>
      <c r="G341" s="20" t="s">
        <v>157</v>
      </c>
    </row>
    <row r="342" spans="4:27" ht="11.25" customHeight="1" x14ac:dyDescent="0.15">
      <c r="D342" s="15"/>
      <c r="E342" s="15"/>
      <c r="H342" s="50" t="s">
        <v>158</v>
      </c>
      <c r="I342" s="50"/>
      <c r="J342" s="50"/>
      <c r="K342" s="50" t="s">
        <v>159</v>
      </c>
      <c r="L342" s="50"/>
      <c r="M342" s="50"/>
      <c r="N342" s="50"/>
      <c r="O342" s="50"/>
      <c r="P342" s="50"/>
      <c r="Q342" s="50"/>
      <c r="R342" s="50"/>
      <c r="S342" s="50"/>
      <c r="T342" s="50"/>
      <c r="U342" s="50"/>
    </row>
    <row r="343" spans="4:27" ht="11.25" customHeight="1" x14ac:dyDescent="0.15">
      <c r="D343" s="15"/>
      <c r="E343" s="15"/>
      <c r="H343" s="49" t="s">
        <v>160</v>
      </c>
      <c r="I343" s="49"/>
      <c r="J343" s="49"/>
      <c r="K343" s="49" t="s">
        <v>151</v>
      </c>
      <c r="L343" s="49"/>
      <c r="M343" s="49"/>
      <c r="N343" s="49"/>
      <c r="O343" s="49"/>
      <c r="P343" s="49"/>
      <c r="Q343" s="49"/>
      <c r="R343" s="49"/>
      <c r="S343" s="49"/>
      <c r="T343" s="49"/>
      <c r="U343" s="49"/>
    </row>
    <row r="344" spans="4:27" ht="11.25" customHeight="1" x14ac:dyDescent="0.15">
      <c r="D344" s="15"/>
      <c r="E344" s="15"/>
      <c r="H344" s="49" t="s">
        <v>161</v>
      </c>
      <c r="I344" s="49"/>
      <c r="J344" s="49"/>
      <c r="K344" s="49" t="s">
        <v>162</v>
      </c>
      <c r="L344" s="49"/>
      <c r="M344" s="49"/>
      <c r="N344" s="49"/>
      <c r="O344" s="49"/>
      <c r="P344" s="49"/>
      <c r="Q344" s="49"/>
      <c r="R344" s="49"/>
      <c r="S344" s="49"/>
      <c r="T344" s="49"/>
      <c r="U344" s="49"/>
    </row>
    <row r="345" spans="4:27" ht="11.25" customHeight="1" x14ac:dyDescent="0.15">
      <c r="D345" s="15"/>
      <c r="E345" s="15"/>
      <c r="H345" s="49" t="s">
        <v>163</v>
      </c>
      <c r="I345" s="49"/>
      <c r="J345" s="49"/>
      <c r="K345" s="49" t="s">
        <v>155</v>
      </c>
      <c r="L345" s="49"/>
      <c r="M345" s="49"/>
      <c r="N345" s="49"/>
      <c r="O345" s="49"/>
      <c r="P345" s="49"/>
      <c r="Q345" s="49"/>
      <c r="R345" s="49"/>
      <c r="S345" s="49"/>
      <c r="T345" s="49"/>
      <c r="U345" s="49"/>
    </row>
    <row r="346" spans="4:27" ht="11.25" customHeight="1" x14ac:dyDescent="0.15">
      <c r="D346" s="15"/>
      <c r="E346" s="15"/>
      <c r="H346" s="49" t="s">
        <v>164</v>
      </c>
      <c r="I346" s="49"/>
      <c r="J346" s="49"/>
      <c r="K346" s="49" t="s">
        <v>152</v>
      </c>
      <c r="L346" s="49"/>
      <c r="M346" s="49"/>
      <c r="N346" s="49"/>
      <c r="O346" s="49"/>
      <c r="P346" s="49"/>
      <c r="Q346" s="49"/>
      <c r="R346" s="49"/>
      <c r="S346" s="49"/>
      <c r="T346" s="49"/>
      <c r="U346" s="49"/>
    </row>
    <row r="347" spans="4:27" ht="11.25" customHeight="1" x14ac:dyDescent="0.15">
      <c r="D347" s="15"/>
      <c r="E347" s="15"/>
    </row>
    <row r="348" spans="4:27" ht="11.25" customHeight="1" x14ac:dyDescent="0.15">
      <c r="D348" s="15"/>
      <c r="E348" s="15"/>
      <c r="G348" s="20" t="s">
        <v>165</v>
      </c>
    </row>
    <row r="349" spans="4:27" ht="11.25" customHeight="1" x14ac:dyDescent="0.15">
      <c r="D349" s="15"/>
      <c r="E349" s="15"/>
      <c r="H349" s="50" t="s">
        <v>166</v>
      </c>
      <c r="I349" s="50"/>
      <c r="J349" s="50"/>
      <c r="K349" s="50" t="s">
        <v>167</v>
      </c>
      <c r="L349" s="50"/>
      <c r="M349" s="50"/>
      <c r="N349" s="50"/>
      <c r="O349" s="50"/>
      <c r="P349" s="50"/>
      <c r="Q349" s="50"/>
      <c r="R349" s="50"/>
      <c r="S349" s="50"/>
      <c r="T349" s="50"/>
      <c r="U349" s="50"/>
    </row>
    <row r="350" spans="4:27" ht="11.25" customHeight="1" x14ac:dyDescent="0.15">
      <c r="D350" s="15"/>
      <c r="E350" s="15"/>
      <c r="H350" s="49" t="s">
        <v>168</v>
      </c>
      <c r="I350" s="49"/>
      <c r="J350" s="49"/>
      <c r="K350" s="49" t="s">
        <v>169</v>
      </c>
      <c r="L350" s="49"/>
      <c r="M350" s="49"/>
      <c r="N350" s="49"/>
      <c r="O350" s="49"/>
      <c r="P350" s="49"/>
      <c r="Q350" s="49"/>
      <c r="R350" s="49"/>
      <c r="S350" s="49"/>
      <c r="T350" s="49"/>
      <c r="U350" s="49"/>
    </row>
    <row r="351" spans="4:27" ht="11.25" customHeight="1" x14ac:dyDescent="0.15">
      <c r="D351" s="15"/>
      <c r="E351" s="15"/>
      <c r="H351" s="49" t="s">
        <v>170</v>
      </c>
      <c r="I351" s="49"/>
      <c r="J351" s="49"/>
      <c r="K351" s="49" t="s">
        <v>171</v>
      </c>
      <c r="L351" s="49"/>
      <c r="M351" s="49"/>
      <c r="N351" s="49"/>
      <c r="O351" s="49"/>
      <c r="P351" s="49"/>
      <c r="Q351" s="49"/>
      <c r="R351" s="49"/>
      <c r="S351" s="49"/>
      <c r="T351" s="49"/>
      <c r="U351" s="49"/>
    </row>
    <row r="352" spans="4:27" ht="11.25" customHeight="1" x14ac:dyDescent="0.15">
      <c r="D352" s="15"/>
      <c r="E352" s="15"/>
      <c r="H352" s="49" t="s">
        <v>172</v>
      </c>
      <c r="I352" s="49"/>
      <c r="J352" s="49"/>
      <c r="K352" s="49" t="s">
        <v>173</v>
      </c>
      <c r="L352" s="49"/>
      <c r="M352" s="49"/>
      <c r="N352" s="49"/>
      <c r="O352" s="49"/>
      <c r="P352" s="49"/>
      <c r="Q352" s="49"/>
      <c r="R352" s="49"/>
      <c r="S352" s="49"/>
      <c r="T352" s="49"/>
      <c r="U352" s="49"/>
    </row>
    <row r="353" spans="4:16" ht="11.25" customHeight="1" x14ac:dyDescent="0.15">
      <c r="D353" s="15"/>
      <c r="E353" s="15"/>
    </row>
    <row r="354" spans="4:16" ht="11.25" customHeight="1" x14ac:dyDescent="0.15">
      <c r="D354" s="15"/>
      <c r="E354" s="15"/>
      <c r="G354" s="4" t="s">
        <v>174</v>
      </c>
    </row>
    <row r="355" spans="4:16" ht="11.25" customHeight="1" x14ac:dyDescent="0.15">
      <c r="D355" s="15"/>
      <c r="E355" s="15"/>
    </row>
    <row r="356" spans="4:16" ht="11.25" customHeight="1" x14ac:dyDescent="0.15">
      <c r="D356" s="15"/>
      <c r="E356" s="15"/>
      <c r="F356" s="15"/>
      <c r="H356" s="35"/>
      <c r="I356" s="47" t="s">
        <v>158</v>
      </c>
      <c r="J356" s="47"/>
      <c r="K356" s="47"/>
      <c r="L356" s="47"/>
      <c r="M356" s="47"/>
    </row>
    <row r="357" spans="4:16" ht="11.25" customHeight="1" x14ac:dyDescent="0.15">
      <c r="D357" s="15"/>
      <c r="E357" s="15"/>
      <c r="F357" s="15"/>
      <c r="H357" s="48" t="s">
        <v>166</v>
      </c>
      <c r="I357" s="34"/>
      <c r="J357" s="34" t="s">
        <v>160</v>
      </c>
      <c r="K357" s="34" t="s">
        <v>161</v>
      </c>
      <c r="L357" s="34" t="s">
        <v>163</v>
      </c>
      <c r="M357" s="34" t="s">
        <v>164</v>
      </c>
    </row>
    <row r="358" spans="4:16" ht="11.25" customHeight="1" x14ac:dyDescent="0.15">
      <c r="D358" s="15"/>
      <c r="E358" s="15"/>
      <c r="F358" s="15"/>
      <c r="H358" s="48"/>
      <c r="I358" s="34" t="s">
        <v>168</v>
      </c>
      <c r="J358" s="36" t="s">
        <v>175</v>
      </c>
      <c r="K358" s="36" t="s">
        <v>175</v>
      </c>
      <c r="L358" s="36" t="s">
        <v>175</v>
      </c>
      <c r="M358" s="36" t="s">
        <v>175</v>
      </c>
    </row>
    <row r="359" spans="4:16" ht="11.25" customHeight="1" x14ac:dyDescent="0.15">
      <c r="D359" s="15"/>
      <c r="E359" s="15"/>
      <c r="F359" s="15"/>
      <c r="H359" s="48"/>
      <c r="I359" s="34" t="s">
        <v>170</v>
      </c>
      <c r="J359" s="36" t="s">
        <v>176</v>
      </c>
      <c r="K359" s="36" t="s">
        <v>175</v>
      </c>
      <c r="L359" s="36" t="s">
        <v>176</v>
      </c>
      <c r="M359" s="36" t="s">
        <v>175</v>
      </c>
      <c r="P359" s="4" t="s">
        <v>177</v>
      </c>
    </row>
    <row r="360" spans="4:16" ht="11.25" customHeight="1" x14ac:dyDescent="0.15">
      <c r="D360" s="15"/>
      <c r="E360" s="15"/>
      <c r="F360" s="15"/>
      <c r="H360" s="48"/>
      <c r="I360" s="34" t="s">
        <v>172</v>
      </c>
      <c r="J360" s="36" t="s">
        <v>176</v>
      </c>
      <c r="K360" s="36" t="s">
        <v>175</v>
      </c>
      <c r="L360" s="36" t="s">
        <v>176</v>
      </c>
      <c r="M360" s="36" t="s">
        <v>176</v>
      </c>
      <c r="P360" s="4" t="s">
        <v>178</v>
      </c>
    </row>
    <row r="361" spans="4:16" ht="11.25" customHeight="1" x14ac:dyDescent="0.15">
      <c r="D361" s="15"/>
      <c r="E361" s="15"/>
      <c r="F361" s="15"/>
      <c r="H361" s="15"/>
      <c r="I361" s="15"/>
      <c r="J361" s="37"/>
      <c r="K361" s="37"/>
      <c r="L361" s="37"/>
      <c r="M361" s="37"/>
    </row>
    <row r="362" spans="4:16" ht="11.25" customHeight="1" x14ac:dyDescent="0.15">
      <c r="D362" s="15"/>
      <c r="E362" s="15"/>
      <c r="G362" s="20" t="s">
        <v>179</v>
      </c>
    </row>
    <row r="363" spans="4:16" ht="11.25" customHeight="1" x14ac:dyDescent="0.15">
      <c r="D363" s="15"/>
      <c r="E363" s="15"/>
      <c r="G363" s="20"/>
    </row>
    <row r="364" spans="4:16" ht="11.25" customHeight="1" x14ac:dyDescent="0.15">
      <c r="D364" s="15"/>
      <c r="E364" s="15"/>
    </row>
    <row r="365" spans="4:16" ht="11.25" customHeight="1" x14ac:dyDescent="0.15">
      <c r="D365" s="15"/>
      <c r="E365" s="15"/>
    </row>
    <row r="366" spans="4:16" ht="11.25" customHeight="1" x14ac:dyDescent="0.15">
      <c r="D366" s="15"/>
      <c r="E366" s="15"/>
    </row>
    <row r="367" spans="4:16" ht="11.25" customHeight="1" x14ac:dyDescent="0.15">
      <c r="D367" s="15"/>
      <c r="E367" s="15"/>
    </row>
    <row r="368" spans="4:16" ht="11.25" customHeight="1" x14ac:dyDescent="0.15">
      <c r="D368" s="15"/>
      <c r="E368" s="15"/>
    </row>
    <row r="369" spans="4:33" ht="11.25" customHeight="1" x14ac:dyDescent="0.15">
      <c r="D369" s="15"/>
      <c r="E369" s="15"/>
    </row>
    <row r="370" spans="4:33" ht="11.25" customHeight="1" x14ac:dyDescent="0.15">
      <c r="D370" s="15"/>
      <c r="E370" s="15"/>
    </row>
    <row r="371" spans="4:33" ht="11.25" customHeight="1" x14ac:dyDescent="0.15">
      <c r="D371" s="15"/>
      <c r="E371" s="15"/>
    </row>
    <row r="372" spans="4:33" ht="11.25" customHeight="1" x14ac:dyDescent="0.15">
      <c r="D372" s="15"/>
      <c r="E372" s="15"/>
    </row>
    <row r="373" spans="4:33" ht="11.25" customHeight="1" x14ac:dyDescent="0.15">
      <c r="D373" s="15"/>
      <c r="E373" s="15"/>
    </row>
    <row r="374" spans="4:33" ht="11.25" customHeight="1" x14ac:dyDescent="0.15">
      <c r="D374" s="15"/>
    </row>
    <row r="375" spans="4:33" ht="11.25" customHeight="1" x14ac:dyDescent="0.15">
      <c r="D375" s="15" t="str">
        <f>$C$7&amp;"3."</f>
        <v>7.5.3.</v>
      </c>
      <c r="E375" s="4" t="s">
        <v>180</v>
      </c>
    </row>
    <row r="376" spans="4:33" ht="11.25" customHeight="1" x14ac:dyDescent="0.15">
      <c r="D376" s="15"/>
      <c r="E376" s="4" t="s">
        <v>181</v>
      </c>
    </row>
    <row r="377" spans="4:33" ht="11.25" customHeight="1" x14ac:dyDescent="0.15">
      <c r="D377" s="15"/>
    </row>
    <row r="378" spans="4:33" ht="11.25" customHeight="1" x14ac:dyDescent="0.15">
      <c r="D378" s="15"/>
      <c r="E378" s="21"/>
      <c r="F378" s="22"/>
      <c r="G378" s="22"/>
      <c r="H378" s="22"/>
      <c r="I378" s="22"/>
      <c r="J378" s="22"/>
      <c r="K378" s="22"/>
      <c r="L378" s="23"/>
      <c r="M378" s="69" t="s">
        <v>24</v>
      </c>
      <c r="N378" s="70"/>
      <c r="O378" s="70"/>
      <c r="P378" s="70"/>
      <c r="Q378" s="70"/>
      <c r="R378" s="70"/>
      <c r="S378" s="71"/>
      <c r="T378" s="66" t="s">
        <v>29</v>
      </c>
      <c r="U378" s="67"/>
      <c r="V378" s="67"/>
      <c r="W378" s="67"/>
      <c r="X378" s="67"/>
      <c r="Y378" s="67"/>
      <c r="Z378" s="67"/>
      <c r="AA378" s="67"/>
      <c r="AB378" s="67"/>
      <c r="AC378" s="67"/>
      <c r="AD378" s="67"/>
      <c r="AE378" s="67"/>
      <c r="AF378" s="67"/>
      <c r="AG378" s="68"/>
    </row>
    <row r="379" spans="4:33" ht="11.25" customHeight="1" x14ac:dyDescent="0.15">
      <c r="D379" s="15"/>
      <c r="E379" s="24"/>
      <c r="F379" s="25"/>
      <c r="G379" s="25"/>
      <c r="H379" s="25"/>
      <c r="I379" s="25"/>
      <c r="J379" s="25"/>
      <c r="K379" s="25"/>
      <c r="L379" s="26"/>
      <c r="M379" s="69" t="s">
        <v>182</v>
      </c>
      <c r="N379" s="70"/>
      <c r="O379" s="70"/>
      <c r="P379" s="70"/>
      <c r="Q379" s="70"/>
      <c r="R379" s="70"/>
      <c r="S379" s="71"/>
      <c r="T379" s="69" t="s">
        <v>80</v>
      </c>
      <c r="U379" s="70"/>
      <c r="V379" s="70"/>
      <c r="W379" s="70"/>
      <c r="X379" s="70"/>
      <c r="Y379" s="70"/>
      <c r="Z379" s="70"/>
      <c r="AA379" s="71"/>
      <c r="AB379" s="69" t="s">
        <v>96</v>
      </c>
      <c r="AC379" s="70"/>
      <c r="AD379" s="70"/>
      <c r="AE379" s="70"/>
      <c r="AF379" s="70"/>
      <c r="AG379" s="71"/>
    </row>
    <row r="380" spans="4:33" ht="11.25" customHeight="1" x14ac:dyDescent="0.15">
      <c r="D380" s="15"/>
      <c r="E380" s="81" t="s">
        <v>183</v>
      </c>
      <c r="F380" s="82"/>
      <c r="G380" s="82"/>
      <c r="H380" s="82"/>
      <c r="I380" s="82"/>
      <c r="J380" s="83"/>
      <c r="K380" s="69" t="s">
        <v>184</v>
      </c>
      <c r="L380" s="71"/>
      <c r="M380" s="60" t="s">
        <v>185</v>
      </c>
      <c r="N380" s="61"/>
      <c r="O380" s="61"/>
      <c r="P380" s="61"/>
      <c r="Q380" s="61"/>
      <c r="R380" s="61"/>
      <c r="S380" s="62"/>
      <c r="T380" s="72" t="s">
        <v>186</v>
      </c>
      <c r="U380" s="73"/>
      <c r="V380" s="73"/>
      <c r="W380" s="73"/>
      <c r="X380" s="73"/>
      <c r="Y380" s="73"/>
      <c r="Z380" s="73"/>
      <c r="AA380" s="74"/>
      <c r="AB380" s="51" t="s">
        <v>187</v>
      </c>
      <c r="AC380" s="52"/>
      <c r="AD380" s="52"/>
      <c r="AE380" s="52"/>
      <c r="AF380" s="52"/>
      <c r="AG380" s="53"/>
    </row>
    <row r="381" spans="4:33" ht="11.25" customHeight="1" x14ac:dyDescent="0.15">
      <c r="D381" s="15"/>
      <c r="E381" s="84"/>
      <c r="F381" s="85"/>
      <c r="G381" s="85"/>
      <c r="H381" s="85"/>
      <c r="I381" s="85"/>
      <c r="J381" s="86"/>
      <c r="K381" s="69" t="s">
        <v>188</v>
      </c>
      <c r="L381" s="71"/>
      <c r="M381" s="60" t="s">
        <v>189</v>
      </c>
      <c r="N381" s="61"/>
      <c r="O381" s="61"/>
      <c r="P381" s="61"/>
      <c r="Q381" s="61"/>
      <c r="R381" s="61"/>
      <c r="S381" s="62"/>
      <c r="T381" s="75"/>
      <c r="U381" s="76"/>
      <c r="V381" s="76"/>
      <c r="W381" s="76"/>
      <c r="X381" s="76"/>
      <c r="Y381" s="76"/>
      <c r="Z381" s="76"/>
      <c r="AA381" s="77"/>
      <c r="AB381" s="54"/>
      <c r="AC381" s="55"/>
      <c r="AD381" s="55"/>
      <c r="AE381" s="55"/>
      <c r="AF381" s="55"/>
      <c r="AG381" s="56"/>
    </row>
    <row r="382" spans="4:33" ht="11.25" customHeight="1" x14ac:dyDescent="0.15">
      <c r="D382" s="15"/>
      <c r="E382" s="84"/>
      <c r="F382" s="85"/>
      <c r="G382" s="85"/>
      <c r="H382" s="85"/>
      <c r="I382" s="85"/>
      <c r="J382" s="86"/>
      <c r="K382" s="69" t="s">
        <v>190</v>
      </c>
      <c r="L382" s="71"/>
      <c r="M382" s="60" t="s">
        <v>191</v>
      </c>
      <c r="N382" s="61"/>
      <c r="O382" s="61"/>
      <c r="P382" s="61"/>
      <c r="Q382" s="61"/>
      <c r="R382" s="61"/>
      <c r="S382" s="62"/>
      <c r="T382" s="75"/>
      <c r="U382" s="76"/>
      <c r="V382" s="76"/>
      <c r="W382" s="76"/>
      <c r="X382" s="76"/>
      <c r="Y382" s="76"/>
      <c r="Z382" s="76"/>
      <c r="AA382" s="77"/>
      <c r="AB382" s="54"/>
      <c r="AC382" s="55"/>
      <c r="AD382" s="55"/>
      <c r="AE382" s="55"/>
      <c r="AF382" s="55"/>
      <c r="AG382" s="56"/>
    </row>
    <row r="383" spans="4:33" ht="11.25" customHeight="1" x14ac:dyDescent="0.15">
      <c r="D383" s="15"/>
      <c r="E383" s="87"/>
      <c r="F383" s="88"/>
      <c r="G383" s="88"/>
      <c r="H383" s="88"/>
      <c r="I383" s="88"/>
      <c r="J383" s="89"/>
      <c r="K383" s="69" t="s">
        <v>192</v>
      </c>
      <c r="L383" s="71"/>
      <c r="M383" s="60" t="s">
        <v>193</v>
      </c>
      <c r="N383" s="61"/>
      <c r="O383" s="61"/>
      <c r="P383" s="61"/>
      <c r="Q383" s="61"/>
      <c r="R383" s="61"/>
      <c r="S383" s="62"/>
      <c r="T383" s="78"/>
      <c r="U383" s="79"/>
      <c r="V383" s="79"/>
      <c r="W383" s="79"/>
      <c r="X383" s="79"/>
      <c r="Y383" s="79"/>
      <c r="Z383" s="79"/>
      <c r="AA383" s="80"/>
      <c r="AB383" s="57"/>
      <c r="AC383" s="58"/>
      <c r="AD383" s="58"/>
      <c r="AE383" s="58"/>
      <c r="AF383" s="58"/>
      <c r="AG383" s="59"/>
    </row>
    <row r="384" spans="4:33" ht="29.45" customHeight="1" x14ac:dyDescent="0.15">
      <c r="D384" s="15"/>
      <c r="E384" s="69" t="s">
        <v>194</v>
      </c>
      <c r="F384" s="70"/>
      <c r="G384" s="70"/>
      <c r="H384" s="70"/>
      <c r="I384" s="70"/>
      <c r="J384" s="70"/>
      <c r="K384" s="70"/>
      <c r="L384" s="71"/>
      <c r="M384" s="60" t="s">
        <v>191</v>
      </c>
      <c r="N384" s="61"/>
      <c r="O384" s="61"/>
      <c r="P384" s="61"/>
      <c r="Q384" s="61"/>
      <c r="R384" s="61"/>
      <c r="S384" s="62"/>
      <c r="T384" s="63" t="s">
        <v>195</v>
      </c>
      <c r="U384" s="64"/>
      <c r="V384" s="64"/>
      <c r="W384" s="64"/>
      <c r="X384" s="64"/>
      <c r="Y384" s="64"/>
      <c r="Z384" s="64"/>
      <c r="AA384" s="65"/>
      <c r="AB384" s="60" t="s">
        <v>187</v>
      </c>
      <c r="AC384" s="61"/>
      <c r="AD384" s="61"/>
      <c r="AE384" s="61"/>
      <c r="AF384" s="61"/>
      <c r="AG384" s="62"/>
    </row>
    <row r="385" spans="4:33" ht="11.25" customHeight="1" x14ac:dyDescent="0.15">
      <c r="D385" s="15"/>
      <c r="E385" s="69" t="s">
        <v>196</v>
      </c>
      <c r="F385" s="70"/>
      <c r="G385" s="70"/>
      <c r="H385" s="70"/>
      <c r="I385" s="70"/>
      <c r="J385" s="70"/>
      <c r="K385" s="70"/>
      <c r="L385" s="71"/>
      <c r="M385" s="60" t="s">
        <v>197</v>
      </c>
      <c r="N385" s="61"/>
      <c r="O385" s="61"/>
      <c r="P385" s="61"/>
      <c r="Q385" s="61"/>
      <c r="R385" s="61"/>
      <c r="S385" s="62"/>
      <c r="T385" s="60" t="s">
        <v>198</v>
      </c>
      <c r="U385" s="61"/>
      <c r="V385" s="61"/>
      <c r="W385" s="61"/>
      <c r="X385" s="61"/>
      <c r="Y385" s="61"/>
      <c r="Z385" s="61"/>
      <c r="AA385" s="62"/>
      <c r="AB385" s="60" t="s">
        <v>199</v>
      </c>
      <c r="AC385" s="61"/>
      <c r="AD385" s="61"/>
      <c r="AE385" s="61"/>
      <c r="AF385" s="61"/>
      <c r="AG385" s="62"/>
    </row>
    <row r="386" spans="4:33" ht="11.25" customHeight="1" x14ac:dyDescent="0.15">
      <c r="D386" s="15"/>
      <c r="E386" s="81" t="s">
        <v>200</v>
      </c>
      <c r="F386" s="82"/>
      <c r="G386" s="82"/>
      <c r="H386" s="82"/>
      <c r="I386" s="82"/>
      <c r="J386" s="83"/>
      <c r="K386" s="69" t="s">
        <v>184</v>
      </c>
      <c r="L386" s="71"/>
      <c r="M386" s="51" t="s">
        <v>201</v>
      </c>
      <c r="N386" s="52"/>
      <c r="O386" s="52"/>
      <c r="P386" s="52"/>
      <c r="Q386" s="52"/>
      <c r="R386" s="52"/>
      <c r="S386" s="53"/>
      <c r="T386" s="51" t="s">
        <v>201</v>
      </c>
      <c r="U386" s="52"/>
      <c r="V386" s="52"/>
      <c r="W386" s="52"/>
      <c r="X386" s="52"/>
      <c r="Y386" s="52"/>
      <c r="Z386" s="52"/>
      <c r="AA386" s="52"/>
      <c r="AB386" s="52"/>
      <c r="AC386" s="52"/>
      <c r="AD386" s="52"/>
      <c r="AE386" s="52"/>
      <c r="AF386" s="52"/>
      <c r="AG386" s="53"/>
    </row>
    <row r="387" spans="4:33" ht="11.25" customHeight="1" x14ac:dyDescent="0.15">
      <c r="D387" s="15"/>
      <c r="E387" s="84"/>
      <c r="F387" s="85"/>
      <c r="G387" s="85"/>
      <c r="H387" s="85"/>
      <c r="I387" s="85"/>
      <c r="J387" s="86"/>
      <c r="K387" s="69" t="s">
        <v>190</v>
      </c>
      <c r="L387" s="71"/>
      <c r="M387" s="54"/>
      <c r="N387" s="55"/>
      <c r="O387" s="55"/>
      <c r="P387" s="55"/>
      <c r="Q387" s="55"/>
      <c r="R387" s="55"/>
      <c r="S387" s="56"/>
      <c r="T387" s="54"/>
      <c r="U387" s="55"/>
      <c r="V387" s="55"/>
      <c r="W387" s="55"/>
      <c r="X387" s="55"/>
      <c r="Y387" s="55"/>
      <c r="Z387" s="55"/>
      <c r="AA387" s="55"/>
      <c r="AB387" s="55"/>
      <c r="AC387" s="55"/>
      <c r="AD387" s="55"/>
      <c r="AE387" s="55"/>
      <c r="AF387" s="55"/>
      <c r="AG387" s="56"/>
    </row>
    <row r="388" spans="4:33" ht="11.25" customHeight="1" x14ac:dyDescent="0.15">
      <c r="D388" s="15"/>
      <c r="E388" s="87"/>
      <c r="F388" s="88"/>
      <c r="G388" s="88"/>
      <c r="H388" s="88"/>
      <c r="I388" s="88"/>
      <c r="J388" s="89"/>
      <c r="K388" s="69" t="s">
        <v>192</v>
      </c>
      <c r="L388" s="71"/>
      <c r="M388" s="57"/>
      <c r="N388" s="58"/>
      <c r="O388" s="58"/>
      <c r="P388" s="58"/>
      <c r="Q388" s="58"/>
      <c r="R388" s="58"/>
      <c r="S388" s="59"/>
      <c r="T388" s="57"/>
      <c r="U388" s="58"/>
      <c r="V388" s="58"/>
      <c r="W388" s="58"/>
      <c r="X388" s="58"/>
      <c r="Y388" s="58"/>
      <c r="Z388" s="58"/>
      <c r="AA388" s="58"/>
      <c r="AB388" s="58"/>
      <c r="AC388" s="58"/>
      <c r="AD388" s="58"/>
      <c r="AE388" s="58"/>
      <c r="AF388" s="58"/>
      <c r="AG388" s="59"/>
    </row>
    <row r="389" spans="4:33" ht="11.25" customHeight="1" x14ac:dyDescent="0.15">
      <c r="D389" s="15"/>
    </row>
    <row r="390" spans="4:33" ht="11.25" customHeight="1" x14ac:dyDescent="0.15">
      <c r="D390" s="15"/>
      <c r="E390" s="4" t="s">
        <v>215</v>
      </c>
    </row>
    <row r="391" spans="4:33" ht="11.25" customHeight="1" x14ac:dyDescent="0.15"/>
    <row r="392" spans="4:33" ht="11.25" customHeight="1" x14ac:dyDescent="0.15">
      <c r="E392" s="21"/>
      <c r="F392" s="22"/>
      <c r="G392" s="22"/>
      <c r="H392" s="22"/>
      <c r="I392" s="23"/>
      <c r="J392" s="41" t="s">
        <v>39</v>
      </c>
      <c r="K392" s="41"/>
      <c r="L392" s="41"/>
      <c r="M392" s="41"/>
      <c r="N392" s="42"/>
    </row>
    <row r="393" spans="4:33" ht="11.25" customHeight="1" x14ac:dyDescent="0.15">
      <c r="E393" s="24"/>
      <c r="F393" s="25"/>
      <c r="G393" s="25"/>
      <c r="H393" s="25"/>
      <c r="I393" s="26"/>
      <c r="J393" s="22" t="s">
        <v>216</v>
      </c>
      <c r="K393" s="22"/>
      <c r="L393" s="22"/>
      <c r="M393" s="22"/>
      <c r="N393" s="23"/>
    </row>
    <row r="394" spans="4:33" ht="11.25" customHeight="1" x14ac:dyDescent="0.15">
      <c r="E394" s="43" t="s">
        <v>211</v>
      </c>
      <c r="F394" s="44"/>
      <c r="G394" s="45"/>
      <c r="H394" s="24" t="s">
        <v>184</v>
      </c>
      <c r="I394" s="26"/>
      <c r="J394" s="38" t="s">
        <v>213</v>
      </c>
      <c r="K394" s="32"/>
      <c r="L394" s="32"/>
      <c r="M394" s="32"/>
      <c r="N394" s="33"/>
    </row>
    <row r="395" spans="4:33" ht="11.25" customHeight="1" x14ac:dyDescent="0.15">
      <c r="E395" s="43"/>
      <c r="F395" s="44"/>
      <c r="G395" s="45"/>
      <c r="H395" s="40" t="s">
        <v>188</v>
      </c>
      <c r="I395" s="42"/>
      <c r="J395" s="27"/>
      <c r="K395" s="39"/>
      <c r="L395" s="39"/>
      <c r="M395" s="39"/>
      <c r="N395" s="28"/>
    </row>
    <row r="396" spans="4:33" ht="11.25" customHeight="1" x14ac:dyDescent="0.15">
      <c r="E396" s="43"/>
      <c r="F396" s="44"/>
      <c r="G396" s="45"/>
      <c r="H396" s="40" t="s">
        <v>190</v>
      </c>
      <c r="I396" s="42"/>
      <c r="J396" s="27"/>
      <c r="K396" s="39"/>
      <c r="L396" s="39"/>
      <c r="M396" s="39"/>
      <c r="N396" s="28"/>
    </row>
    <row r="397" spans="4:33" ht="11.25" customHeight="1" x14ac:dyDescent="0.15">
      <c r="E397" s="24"/>
      <c r="F397" s="25"/>
      <c r="G397" s="26"/>
      <c r="H397" s="40" t="s">
        <v>192</v>
      </c>
      <c r="I397" s="42"/>
      <c r="J397" s="29"/>
      <c r="K397" s="30"/>
      <c r="L397" s="30"/>
      <c r="M397" s="30"/>
      <c r="N397" s="31"/>
    </row>
    <row r="398" spans="4:33" ht="11.25" customHeight="1" x14ac:dyDescent="0.15">
      <c r="E398" s="21" t="s">
        <v>212</v>
      </c>
      <c r="F398" s="22"/>
      <c r="G398" s="23"/>
      <c r="H398" s="40" t="s">
        <v>184</v>
      </c>
      <c r="I398" s="42"/>
      <c r="J398" s="38" t="s">
        <v>214</v>
      </c>
      <c r="K398" s="32"/>
      <c r="L398" s="32"/>
      <c r="M398" s="32"/>
      <c r="N398" s="33"/>
    </row>
    <row r="399" spans="4:33" ht="11.25" customHeight="1" x14ac:dyDescent="0.15">
      <c r="E399" s="43"/>
      <c r="F399" s="44"/>
      <c r="G399" s="45"/>
      <c r="H399" s="40" t="s">
        <v>190</v>
      </c>
      <c r="I399" s="42"/>
      <c r="J399" s="27"/>
      <c r="K399" s="39"/>
      <c r="L399" s="39"/>
      <c r="M399" s="39"/>
      <c r="N399" s="28"/>
    </row>
    <row r="400" spans="4:33" ht="11.25" customHeight="1" x14ac:dyDescent="0.15">
      <c r="E400" s="24"/>
      <c r="F400" s="25"/>
      <c r="G400" s="26"/>
      <c r="H400" s="40" t="s">
        <v>192</v>
      </c>
      <c r="I400" s="42"/>
      <c r="J400" s="29"/>
      <c r="K400" s="30"/>
      <c r="L400" s="30"/>
      <c r="M400" s="30"/>
      <c r="N400" s="31"/>
    </row>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sheetData>
  <mergeCells count="76">
    <mergeCell ref="AF3:AI3"/>
    <mergeCell ref="E1:O1"/>
    <mergeCell ref="R1:X1"/>
    <mergeCell ref="AA1:AE1"/>
    <mergeCell ref="AF1:AI1"/>
    <mergeCell ref="E2:O2"/>
    <mergeCell ref="R2:X3"/>
    <mergeCell ref="AA2:AE2"/>
    <mergeCell ref="AF2:AI2"/>
    <mergeCell ref="E3:O3"/>
    <mergeCell ref="AA3:AE3"/>
    <mergeCell ref="E380:J380"/>
    <mergeCell ref="E381:J381"/>
    <mergeCell ref="E383:J383"/>
    <mergeCell ref="M379:S379"/>
    <mergeCell ref="E382:J382"/>
    <mergeCell ref="K386:L386"/>
    <mergeCell ref="K387:L387"/>
    <mergeCell ref="K388:L388"/>
    <mergeCell ref="E384:L384"/>
    <mergeCell ref="E385:L385"/>
    <mergeCell ref="E386:J386"/>
    <mergeCell ref="E387:J387"/>
    <mergeCell ref="E388:J388"/>
    <mergeCell ref="T378:AG378"/>
    <mergeCell ref="M378:S378"/>
    <mergeCell ref="K380:L380"/>
    <mergeCell ref="K381:L381"/>
    <mergeCell ref="K383:L383"/>
    <mergeCell ref="AB379:AG379"/>
    <mergeCell ref="T379:AA379"/>
    <mergeCell ref="AB380:AG383"/>
    <mergeCell ref="T380:AA383"/>
    <mergeCell ref="K382:L382"/>
    <mergeCell ref="M386:S388"/>
    <mergeCell ref="T386:AG388"/>
    <mergeCell ref="M380:S380"/>
    <mergeCell ref="M381:S381"/>
    <mergeCell ref="M383:S383"/>
    <mergeCell ref="M384:S384"/>
    <mergeCell ref="M385:S385"/>
    <mergeCell ref="AB384:AG384"/>
    <mergeCell ref="AB385:AG385"/>
    <mergeCell ref="T384:AA384"/>
    <mergeCell ref="T385:AA385"/>
    <mergeCell ref="M382:S382"/>
    <mergeCell ref="H334:K334"/>
    <mergeCell ref="L334:AA334"/>
    <mergeCell ref="H335:K335"/>
    <mergeCell ref="L335:AA336"/>
    <mergeCell ref="H336:K336"/>
    <mergeCell ref="H337:K337"/>
    <mergeCell ref="L337:AA338"/>
    <mergeCell ref="H338:K338"/>
    <mergeCell ref="H339:K339"/>
    <mergeCell ref="L339:AA339"/>
    <mergeCell ref="H342:J342"/>
    <mergeCell ref="K342:U342"/>
    <mergeCell ref="H343:J343"/>
    <mergeCell ref="K343:U343"/>
    <mergeCell ref="H344:J344"/>
    <mergeCell ref="K344:U344"/>
    <mergeCell ref="H345:J345"/>
    <mergeCell ref="K345:U345"/>
    <mergeCell ref="H346:J346"/>
    <mergeCell ref="K346:U346"/>
    <mergeCell ref="H349:J349"/>
    <mergeCell ref="K349:U349"/>
    <mergeCell ref="I356:M356"/>
    <mergeCell ref="H357:H360"/>
    <mergeCell ref="H350:J350"/>
    <mergeCell ref="K350:U350"/>
    <mergeCell ref="H351:J351"/>
    <mergeCell ref="K351:U351"/>
    <mergeCell ref="H352:J352"/>
    <mergeCell ref="K352:U352"/>
  </mergeCells>
  <phoneticPr fontId="3"/>
  <dataValidations disablePrompts="1" count="1">
    <dataValidation type="list" allowBlank="1" showInputMessage="1" showErrorMessage="1" sqref="N27:Q27 N23:Q23" xr:uid="{82801415-423A-4599-A274-60D98FD82557}">
      <formula1>"ベーシック認証,フォーム認証,OpenID認証,OAuth認証,OpenID Connect認証,カスタム認証,"</formula1>
    </dataValidation>
  </dataValidations>
  <hyperlinks>
    <hyperlink ref="G320" r:id="rId1" xr:uid="{9F69039C-188E-4DF3-A368-DDAD525CFD56}"/>
  </hyperlinks>
  <pageMargins left="0.7" right="0.7" top="0.75" bottom="0.75" header="0.3" footer="0.3"/>
  <pageSetup paperSize="9" fitToHeight="0" orientation="landscape" r:id="rId2"/>
  <rowBreaks count="9" manualBreakCount="9">
    <brk id="39" max="34" man="1"/>
    <brk id="85" max="34" man="1"/>
    <brk id="122" max="34" man="1"/>
    <brk id="158" max="34" man="1"/>
    <brk id="199" max="34" man="1"/>
    <brk id="240" max="34" man="1"/>
    <brk id="282" max="34" man="1"/>
    <brk id="327" max="34" man="1"/>
    <brk id="361" max="34"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7.5.認証・認可</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2025-04-21T00:24:05Z</dcterms:created>
  <dcterms:modified xsi:type="dcterms:W3CDTF">2025-04-21T02:20:06Z</dcterms:modified>
  <cp:category/>
  <cp:contentStatus/>
</cp:coreProperties>
</file>