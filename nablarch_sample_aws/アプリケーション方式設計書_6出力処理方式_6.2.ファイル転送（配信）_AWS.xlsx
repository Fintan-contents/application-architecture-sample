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codeName="ThisWorkbook" defaultThemeVersion="124226"/>
  <xr:revisionPtr revIDLastSave="0" documentId="13_ncr:1_{4B2535AF-A236-41A8-A344-519E1552A9AF}" xr6:coauthVersionLast="47" xr6:coauthVersionMax="47" xr10:uidLastSave="{00000000-0000-0000-0000-000000000000}"/>
  <bookViews>
    <workbookView xWindow="1245" yWindow="-120" windowWidth="27675" windowHeight="16440" xr2:uid="{00000000-000D-0000-FFFF-FFFF00000000}"/>
  </bookViews>
  <sheets>
    <sheet name="6.2.ファイル転送（配信）" sheetId="4" r:id="rId1"/>
  </sheets>
  <definedNames>
    <definedName name="_xlnm.Print_Area" localSheetId="0">'6.2.ファイル転送（配信）'!$A$1:$AI$170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4" l="1"/>
  <c r="F14" i="4" l="1"/>
  <c r="C7" i="4" l="1"/>
  <c r="D160" i="4" s="1"/>
  <c r="D156" i="4" l="1"/>
  <c r="D166" i="4"/>
  <c r="D9" i="4"/>
  <c r="E21" i="4" s="1"/>
  <c r="D25" i="4"/>
  <c r="E149" i="4" s="1"/>
  <c r="E99" i="4" l="1"/>
  <c r="E127" i="4"/>
  <c r="E10" i="4"/>
  <c r="E14" i="4"/>
  <c r="F139" i="4" l="1"/>
  <c r="F130" i="4"/>
</calcChain>
</file>

<file path=xl/sharedStrings.xml><?xml version="1.0" encoding="utf-8"?>
<sst xmlns="http://schemas.openxmlformats.org/spreadsheetml/2006/main" count="136" uniqueCount="127">
  <si>
    <t>プロジェクト名</t>
    <phoneticPr fontId="4"/>
  </si>
  <si>
    <t>工程</t>
    <rPh sb="0" eb="2">
      <t>コウテイ</t>
    </rPh>
    <phoneticPr fontId="7"/>
  </si>
  <si>
    <t>要件定義</t>
    <rPh sb="0" eb="4">
      <t>ヨウケンテイギ</t>
    </rPh>
    <phoneticPr fontId="6"/>
  </si>
  <si>
    <t>作成</t>
    <phoneticPr fontId="7"/>
  </si>
  <si>
    <t>システム名</t>
  </si>
  <si>
    <t>成果物名</t>
    <phoneticPr fontId="7"/>
  </si>
  <si>
    <t>アプリケーション方式設計書</t>
  </si>
  <si>
    <t>変更</t>
    <phoneticPr fontId="7"/>
  </si>
  <si>
    <t>サブシステム名</t>
  </si>
  <si>
    <t>確認</t>
    <phoneticPr fontId="7"/>
  </si>
  <si>
    <t>6.</t>
    <phoneticPr fontId="6"/>
  </si>
  <si>
    <t>出力処理方式</t>
    <rPh sb="0" eb="2">
      <t>シュツリョク</t>
    </rPh>
    <rPh sb="2" eb="4">
      <t>ショリ</t>
    </rPh>
    <rPh sb="4" eb="6">
      <t>ホウシキ</t>
    </rPh>
    <phoneticPr fontId="6"/>
  </si>
  <si>
    <t>ファイル転送（配信）</t>
    <rPh sb="4" eb="6">
      <t>テンソウ</t>
    </rPh>
    <rPh sb="7" eb="9">
      <t>ハイシン</t>
    </rPh>
    <phoneticPr fontId="6"/>
  </si>
  <si>
    <t>処理方式概要</t>
  </si>
  <si>
    <t>本項では、ファイルの出力からファイルの配信に至るまでの処理について方式設計を行う。</t>
    <rPh sb="10" eb="12">
      <t>シュツリョク</t>
    </rPh>
    <rPh sb="19" eb="21">
      <t>ハイシン</t>
    </rPh>
    <phoneticPr fontId="4"/>
  </si>
  <si>
    <t>集信・配信の概念については、【5.1.ファイル転送（集信）】参照。</t>
    <rPh sb="0" eb="1">
      <t>シュウ</t>
    </rPh>
    <rPh sb="1" eb="2">
      <t>シン</t>
    </rPh>
    <rPh sb="3" eb="5">
      <t>ハイシン</t>
    </rPh>
    <rPh sb="6" eb="8">
      <t>ガイネン</t>
    </rPh>
    <rPh sb="30" eb="32">
      <t>サンショウ</t>
    </rPh>
    <phoneticPr fontId="4"/>
  </si>
  <si>
    <t>本システムでは、ファイル転送（配信）に以下の方法を使用する。</t>
    <rPh sb="0" eb="1">
      <t>ホン</t>
    </rPh>
    <rPh sb="12" eb="14">
      <t>テンソウ</t>
    </rPh>
    <rPh sb="15" eb="17">
      <t>ハイシン</t>
    </rPh>
    <rPh sb="19" eb="21">
      <t>イカ</t>
    </rPh>
    <rPh sb="22" eb="24">
      <t>ホウホウ</t>
    </rPh>
    <rPh sb="25" eb="27">
      <t>シヨウ</t>
    </rPh>
    <phoneticPr fontId="4"/>
  </si>
  <si>
    <t>配信方法</t>
    <rPh sb="0" eb="2">
      <t>ハイシン</t>
    </rPh>
    <rPh sb="2" eb="4">
      <t>ホウホウ</t>
    </rPh>
    <phoneticPr fontId="4"/>
  </si>
  <si>
    <t>特徴</t>
  </si>
  <si>
    <t>SFTP</t>
    <phoneticPr fontId="4"/>
  </si>
  <si>
    <t>ファイル転送プロトコルの１つ。</t>
    <rPh sb="4" eb="6">
      <t>テンソウ</t>
    </rPh>
    <phoneticPr fontId="4"/>
  </si>
  <si>
    <t>FTPと比べ、SSHによる暗号化によってセキュリティ対策が施されている。</t>
  </si>
  <si>
    <t>SFTPクライアントの方式概要</t>
    <rPh sb="11" eb="13">
      <t>ホウシキ</t>
    </rPh>
    <rPh sb="13" eb="15">
      <t>ガイヨウ</t>
    </rPh>
    <phoneticPr fontId="4"/>
  </si>
  <si>
    <t>本システムでは、AWS Transfer FamilyのSFTPコネクタを使用してSFTPのクライアント機能を実現する。</t>
    <rPh sb="0" eb="1">
      <t>ホン</t>
    </rPh>
    <rPh sb="37" eb="39">
      <t>シヨウ</t>
    </rPh>
    <rPh sb="52" eb="54">
      <t>キノウ</t>
    </rPh>
    <rPh sb="55" eb="57">
      <t>ジツゲン</t>
    </rPh>
    <phoneticPr fontId="4"/>
  </si>
  <si>
    <t>SFTPコネクタとの連携にはAWS SDKを使用する。また、SFTPの認証にはSSH公開鍵認証を用いる。</t>
    <rPh sb="10" eb="12">
      <t>レンケイ</t>
    </rPh>
    <rPh sb="22" eb="24">
      <t>シヨウ</t>
    </rPh>
    <rPh sb="35" eb="37">
      <t>ニンショウ</t>
    </rPh>
    <rPh sb="42" eb="44">
      <t>コウカイ</t>
    </rPh>
    <rPh sb="44" eb="45">
      <t>カギ</t>
    </rPh>
    <rPh sb="45" eb="47">
      <t>ニンショウ</t>
    </rPh>
    <rPh sb="48" eb="49">
      <t>モチ</t>
    </rPh>
    <phoneticPr fontId="4"/>
  </si>
  <si>
    <t>処理フローと責務配置</t>
    <rPh sb="6" eb="10">
      <t>セキムハイチ</t>
    </rPh>
    <phoneticPr fontId="6"/>
  </si>
  <si>
    <t>ファイル転送（配信）の基本的な処理は以下のフローに沿って行われる。</t>
    <rPh sb="4" eb="6">
      <t>テンソウ</t>
    </rPh>
    <rPh sb="7" eb="9">
      <t>ハイシン</t>
    </rPh>
    <rPh sb="11" eb="13">
      <t>キホン</t>
    </rPh>
    <rPh sb="13" eb="14">
      <t>テキ</t>
    </rPh>
    <rPh sb="15" eb="17">
      <t>ショリ</t>
    </rPh>
    <rPh sb="18" eb="20">
      <t>イカ</t>
    </rPh>
    <rPh sb="25" eb="26">
      <t>ソ</t>
    </rPh>
    <rPh sb="28" eb="29">
      <t>オコナ</t>
    </rPh>
    <phoneticPr fontId="4"/>
  </si>
  <si>
    <t>また、それぞれの構成要素の責務について以下で説明する。</t>
    <rPh sb="8" eb="12">
      <t>コウセイヨウソ</t>
    </rPh>
    <rPh sb="13" eb="15">
      <t>セキム</t>
    </rPh>
    <rPh sb="19" eb="21">
      <t>イカ</t>
    </rPh>
    <rPh sb="22" eb="24">
      <t>セツメイ</t>
    </rPh>
    <phoneticPr fontId="4"/>
  </si>
  <si>
    <t>名称</t>
    <rPh sb="0" eb="2">
      <t>メイショウ</t>
    </rPh>
    <phoneticPr fontId="4"/>
  </si>
  <si>
    <t>責務</t>
    <rPh sb="0" eb="2">
      <t>セキム</t>
    </rPh>
    <phoneticPr fontId="4"/>
  </si>
  <si>
    <t>EventBridge</t>
    <phoneticPr fontId="4"/>
  </si>
  <si>
    <t>所定のイベントを検知して配信のジョブネットを起動する。</t>
    <rPh sb="0" eb="2">
      <t>ショテイ</t>
    </rPh>
    <rPh sb="8" eb="10">
      <t>ケンチ</t>
    </rPh>
    <rPh sb="12" eb="14">
      <t>ハイシン</t>
    </rPh>
    <rPh sb="22" eb="24">
      <t>キドウ</t>
    </rPh>
    <phoneticPr fontId="4"/>
  </si>
  <si>
    <t>ジョブネットの構成に関しては「4.1.3.ジョブネットの基本構成」に従うため、詳細はそちらを参照のこと。</t>
  </si>
  <si>
    <t>Step Functions</t>
    <phoneticPr fontId="4"/>
  </si>
  <si>
    <t>配信のジョブネットを実行・制御する。</t>
    <rPh sb="0" eb="2">
      <t>ハイシン</t>
    </rPh>
    <rPh sb="10" eb="12">
      <t>ジッコウ</t>
    </rPh>
    <rPh sb="13" eb="15">
      <t>セイギョ</t>
    </rPh>
    <phoneticPr fontId="5"/>
  </si>
  <si>
    <t>バッチプログラム</t>
    <phoneticPr fontId="4"/>
  </si>
  <si>
    <t>配信するファイルを生成して出力バケットに出力する。</t>
    <rPh sb="0" eb="2">
      <t>ハイシン</t>
    </rPh>
    <rPh sb="9" eb="11">
      <t>セイセイ</t>
    </rPh>
    <rPh sb="13" eb="15">
      <t>シュツリョク</t>
    </rPh>
    <rPh sb="20" eb="22">
      <t>シュツリョク</t>
    </rPh>
    <phoneticPr fontId="4"/>
  </si>
  <si>
    <t>Nablarchの都度起動バッチで実装し、ECSタスクとして実行する。</t>
    <rPh sb="9" eb="13">
      <t>ツドキドウ</t>
    </rPh>
    <rPh sb="17" eb="19">
      <t>ジッソウ</t>
    </rPh>
    <rPh sb="30" eb="32">
      <t>ジッコウ</t>
    </rPh>
    <phoneticPr fontId="5"/>
  </si>
  <si>
    <t>S3</t>
    <phoneticPr fontId="4"/>
  </si>
  <si>
    <t>配信対象のファイルを格納するストレージ。</t>
    <rPh sb="0" eb="2">
      <t>ハイシン</t>
    </rPh>
    <rPh sb="2" eb="4">
      <t>タイショウ</t>
    </rPh>
    <rPh sb="10" eb="12">
      <t>カクノウ</t>
    </rPh>
    <phoneticPr fontId="4"/>
  </si>
  <si>
    <t>出力バケットは、バッチプログラムによって生成された送信ファイルの出力先となる。</t>
    <rPh sb="0" eb="2">
      <t>シュツリョク</t>
    </rPh>
    <rPh sb="20" eb="22">
      <t>セイセイ</t>
    </rPh>
    <rPh sb="25" eb="27">
      <t>ソウシン</t>
    </rPh>
    <rPh sb="32" eb="34">
      <t>シュツリョク</t>
    </rPh>
    <rPh sb="34" eb="35">
      <t>サキ</t>
    </rPh>
    <phoneticPr fontId="4"/>
  </si>
  <si>
    <t>送信処理Lambda</t>
    <rPh sb="0" eb="4">
      <t>ソウシンショリ</t>
    </rPh>
    <phoneticPr fontId="4"/>
  </si>
  <si>
    <t>SFTPコネクタ</t>
    <phoneticPr fontId="4"/>
  </si>
  <si>
    <t>SFTPで実際のファイルの配信を行う。</t>
    <rPh sb="5" eb="7">
      <t>ジッサイ</t>
    </rPh>
    <rPh sb="13" eb="15">
      <t>ハイシン</t>
    </rPh>
    <rPh sb="16" eb="17">
      <t>オコナ</t>
    </rPh>
    <phoneticPr fontId="4"/>
  </si>
  <si>
    <t>連携先SFTPサーバ</t>
    <rPh sb="0" eb="3">
      <t>レンケイサキ</t>
    </rPh>
    <phoneticPr fontId="4"/>
  </si>
  <si>
    <t>ファイルの配信先。</t>
    <rPh sb="5" eb="8">
      <t>ハイシンサキ</t>
    </rPh>
    <phoneticPr fontId="4"/>
  </si>
  <si>
    <t>ファイル転送（配信）におけるLambdaの使用方針</t>
    <rPh sb="4" eb="6">
      <t>テンソウ</t>
    </rPh>
    <rPh sb="7" eb="9">
      <t>ハイシン</t>
    </rPh>
    <rPh sb="21" eb="25">
      <t>シヨウホウシン</t>
    </rPh>
    <phoneticPr fontId="6"/>
  </si>
  <si>
    <t>項目</t>
    <rPh sb="0" eb="2">
      <t>コウモク</t>
    </rPh>
    <phoneticPr fontId="6"/>
  </si>
  <si>
    <t>方針</t>
    <rPh sb="0" eb="2">
      <t>ホウシン</t>
    </rPh>
    <phoneticPr fontId="6"/>
  </si>
  <si>
    <t>言語</t>
    <rPh sb="0" eb="2">
      <t>ゲンゴ</t>
    </rPh>
    <phoneticPr fontId="6"/>
  </si>
  <si>
    <t>Java 21</t>
    <phoneticPr fontId="6"/>
  </si>
  <si>
    <t>利用ライブラリ</t>
    <rPh sb="0" eb="2">
      <t>リヨウ</t>
    </rPh>
    <phoneticPr fontId="6"/>
  </si>
  <si>
    <t>com.amazonaws:aws-lambda-java-core (JavaでLambdaを実装するための必須ライブラリ)</t>
    <rPh sb="48" eb="50">
      <t>ジッソウ</t>
    </rPh>
    <rPh sb="55" eb="57">
      <t>ヒッス</t>
    </rPh>
    <phoneticPr fontId="6"/>
  </si>
  <si>
    <t>software.amazon.awssdk:s3 (AWS SDKのS3用モジュール)</t>
    <rPh sb="37" eb="38">
      <t>ヨウ</t>
    </rPh>
    <phoneticPr fontId="6"/>
  </si>
  <si>
    <t>software.amazon.awssdk:transfer (AWS SDKのTransfer Family用モジュール)</t>
    <rPh sb="56" eb="57">
      <t>ヨウ</t>
    </rPh>
    <phoneticPr fontId="6"/>
  </si>
  <si>
    <t>org.bouncycastle:bcpg-jdk18on（Bouncy CastleのPGP暗号用モジュール）</t>
    <rPh sb="47" eb="50">
      <t>アンゴウヨウ</t>
    </rPh>
    <phoneticPr fontId="4"/>
  </si>
  <si>
    <t>Lambda採用基準</t>
    <rPh sb="6" eb="8">
      <t>サイヨウ</t>
    </rPh>
    <rPh sb="8" eb="10">
      <t>キジュン</t>
    </rPh>
    <phoneticPr fontId="4"/>
  </si>
  <si>
    <t>配信におけるLambda関数は、S3上の簡単なファイル操作とTrasnfer Familyを用いた</t>
    <rPh sb="0" eb="2">
      <t>ハイシン</t>
    </rPh>
    <rPh sb="12" eb="14">
      <t>カンスウ</t>
    </rPh>
    <rPh sb="18" eb="19">
      <t>ジョウ</t>
    </rPh>
    <rPh sb="20" eb="22">
      <t>カンタン</t>
    </rPh>
    <rPh sb="27" eb="29">
      <t>ソウサ</t>
    </rPh>
    <rPh sb="46" eb="47">
      <t>モチ</t>
    </rPh>
    <phoneticPr fontId="4"/>
  </si>
  <si>
    <t>ファイル転送でのみ使用し、業務ロジックは実装しない。</t>
    <rPh sb="4" eb="6">
      <t>テンソウ</t>
    </rPh>
    <rPh sb="9" eb="11">
      <t>シヨウ</t>
    </rPh>
    <rPh sb="13" eb="15">
      <t>ギョウム</t>
    </rPh>
    <rPh sb="20" eb="22">
      <t>ジッソウ</t>
    </rPh>
    <phoneticPr fontId="4"/>
  </si>
  <si>
    <t>なおLambda関数は、タイムアウトがデフォルト3秒で最大でも15分までしか延長できない。</t>
    <rPh sb="8" eb="10">
      <t>カンスウ</t>
    </rPh>
    <rPh sb="25" eb="26">
      <t>ビョウ</t>
    </rPh>
    <rPh sb="27" eb="29">
      <t>サイダイ</t>
    </rPh>
    <rPh sb="33" eb="34">
      <t>フン</t>
    </rPh>
    <rPh sb="38" eb="40">
      <t>エンチョウ</t>
    </rPh>
    <phoneticPr fontId="4"/>
  </si>
  <si>
    <t>もしこれ以上かかる場合は、ECSタスクやStep Functionsのステートの利用を検討すること。</t>
    <rPh sb="4" eb="6">
      <t>イジョウ</t>
    </rPh>
    <rPh sb="9" eb="11">
      <t>バアイ</t>
    </rPh>
    <rPh sb="40" eb="42">
      <t>リヨウ</t>
    </rPh>
    <rPh sb="43" eb="45">
      <t>ケントウ</t>
    </rPh>
    <phoneticPr fontId="4"/>
  </si>
  <si>
    <t>エラー制御</t>
    <rPh sb="3" eb="5">
      <t>セイギョ</t>
    </rPh>
    <phoneticPr fontId="6"/>
  </si>
  <si>
    <t>独自制御はせずに、発生した例外をそのまま実行基盤に投げて制御を任せる。</t>
    <rPh sb="0" eb="2">
      <t>ドクジ</t>
    </rPh>
    <rPh sb="2" eb="4">
      <t>セイギョ</t>
    </rPh>
    <rPh sb="9" eb="11">
      <t>ハッセイ</t>
    </rPh>
    <rPh sb="13" eb="15">
      <t>レイガイ</t>
    </rPh>
    <rPh sb="20" eb="24">
      <t>ジッコウキバン</t>
    </rPh>
    <rPh sb="25" eb="26">
      <t>ナ</t>
    </rPh>
    <rPh sb="28" eb="30">
      <t>セイギョ</t>
    </rPh>
    <rPh sb="31" eb="32">
      <t>マカ</t>
    </rPh>
    <phoneticPr fontId="6"/>
  </si>
  <si>
    <t>ログフォーマット</t>
    <phoneticPr fontId="6"/>
  </si>
  <si>
    <t>JSON</t>
    <phoneticPr fontId="6"/>
  </si>
  <si>
    <t>ロガー</t>
    <phoneticPr fontId="6"/>
  </si>
  <si>
    <t>LambdaLoggerを使用。</t>
    <rPh sb="13" eb="15">
      <t>シヨウ</t>
    </rPh>
    <phoneticPr fontId="6"/>
  </si>
  <si>
    <t>ログ出力</t>
    <rPh sb="2" eb="4">
      <t>シュツリョク</t>
    </rPh>
    <phoneticPr fontId="6"/>
  </si>
  <si>
    <t>障害発生時の調査を補助するために進捗状況をINFOまたはERRORログで出力する。</t>
    <rPh sb="0" eb="5">
      <t>ショウガイハッセイジ</t>
    </rPh>
    <rPh sb="6" eb="8">
      <t>チョウサ</t>
    </rPh>
    <rPh sb="9" eb="11">
      <t>ホジョ</t>
    </rPh>
    <rPh sb="16" eb="18">
      <t>シンチョク</t>
    </rPh>
    <rPh sb="18" eb="20">
      <t>ジョウキョウ</t>
    </rPh>
    <rPh sb="36" eb="38">
      <t>シュツリョク</t>
    </rPh>
    <phoneticPr fontId="6"/>
  </si>
  <si>
    <t>ただし、スタックトレースの出力については例外を投げて実行基盤の出力に任せる。</t>
    <rPh sb="13" eb="15">
      <t>シュツリョク</t>
    </rPh>
    <rPh sb="20" eb="22">
      <t>レイガイ</t>
    </rPh>
    <rPh sb="23" eb="24">
      <t>ナ</t>
    </rPh>
    <rPh sb="26" eb="30">
      <t>ジッコウキバン</t>
    </rPh>
    <rPh sb="31" eb="33">
      <t>シュツリョク</t>
    </rPh>
    <rPh sb="34" eb="35">
      <t>マカ</t>
    </rPh>
    <phoneticPr fontId="6"/>
  </si>
  <si>
    <t>また、機密情報はログに出力させないように注意すること。</t>
    <rPh sb="3" eb="7">
      <t>キミツジョウホウ</t>
    </rPh>
    <rPh sb="11" eb="13">
      <t>シュツリョク</t>
    </rPh>
    <rPh sb="20" eb="22">
      <t>チュウイ</t>
    </rPh>
    <phoneticPr fontId="6"/>
  </si>
  <si>
    <t>設定値の管理</t>
    <rPh sb="0" eb="3">
      <t>セッテイチ</t>
    </rPh>
    <rPh sb="4" eb="6">
      <t>カンリ</t>
    </rPh>
    <phoneticPr fontId="6"/>
  </si>
  <si>
    <t>環境依存の設定値は環境変数で渡す。</t>
    <rPh sb="0" eb="4">
      <t>カンキョウイゾン</t>
    </rPh>
    <rPh sb="5" eb="8">
      <t>セッテイチ</t>
    </rPh>
    <rPh sb="9" eb="13">
      <t>カンキョウヘンスウ</t>
    </rPh>
    <rPh sb="14" eb="15">
      <t>ワタ</t>
    </rPh>
    <phoneticPr fontId="6"/>
  </si>
  <si>
    <t>機密情報(SFTPコネクタのIDやPGP暗号で用いる公開鍵など)はAWS Systems Managerの</t>
    <rPh sb="0" eb="4">
      <t>キミツジョウホウ</t>
    </rPh>
    <rPh sb="20" eb="22">
      <t>アンゴウ</t>
    </rPh>
    <rPh sb="23" eb="24">
      <t>モチ</t>
    </rPh>
    <rPh sb="26" eb="29">
      <t>コウカイカギ</t>
    </rPh>
    <phoneticPr fontId="4"/>
  </si>
  <si>
    <t>Parameter Storeで管理する。</t>
    <phoneticPr fontId="4"/>
  </si>
  <si>
    <t>S3のオブジェクトキー</t>
    <phoneticPr fontId="6"/>
  </si>
  <si>
    <t>各バケットごとにオブジェクトキーのプレフィックスとファイル名をどのように管理するか、方針を記載する。</t>
    <rPh sb="0" eb="1">
      <t>カク</t>
    </rPh>
    <rPh sb="29" eb="30">
      <t>メイ</t>
    </rPh>
    <rPh sb="36" eb="38">
      <t>カンリ</t>
    </rPh>
    <rPh sb="42" eb="44">
      <t>ホウシン</t>
    </rPh>
    <rPh sb="45" eb="47">
      <t>キサイ</t>
    </rPh>
    <phoneticPr fontId="4"/>
  </si>
  <si>
    <t>出力バケット</t>
    <rPh sb="0" eb="2">
      <t>シュツリョク</t>
    </rPh>
    <phoneticPr fontId="4"/>
  </si>
  <si>
    <t>ファイル</t>
    <phoneticPr fontId="4"/>
  </si>
  <si>
    <t>説明</t>
    <rPh sb="0" eb="2">
      <t>セツメイ</t>
    </rPh>
    <phoneticPr fontId="4"/>
  </si>
  <si>
    <t>プレフィックス</t>
    <phoneticPr fontId="4"/>
  </si>
  <si>
    <t>ファイル名</t>
    <rPh sb="4" eb="5">
      <t>メイ</t>
    </rPh>
    <phoneticPr fontId="4"/>
  </si>
  <si>
    <t>出力ファイル</t>
    <rPh sb="0" eb="2">
      <t>シュツリョク</t>
    </rPh>
    <phoneticPr fontId="4"/>
  </si>
  <si>
    <t>バッチプログラムによって生成された</t>
    <rPh sb="12" eb="14">
      <t>セイセイ</t>
    </rPh>
    <phoneticPr fontId="4"/>
  </si>
  <si>
    <t>[IF定義書で定められたファイル名]</t>
    <rPh sb="3" eb="6">
      <t>テイギショ</t>
    </rPh>
    <rPh sb="7" eb="8">
      <t>サダ</t>
    </rPh>
    <rPh sb="16" eb="17">
      <t>メイ</t>
    </rPh>
    <phoneticPr fontId="4"/>
  </si>
  <si>
    <t>送信用のファイル。</t>
    <phoneticPr fontId="4"/>
  </si>
  <si>
    <t>送信対象のデータが存在しない場合、</t>
    <rPh sb="0" eb="4">
      <t>ソウシンタイショウ</t>
    </rPh>
    <rPh sb="9" eb="11">
      <t>ソンザイ</t>
    </rPh>
    <rPh sb="14" eb="16">
      <t>バアイ</t>
    </rPh>
    <phoneticPr fontId="4"/>
  </si>
  <si>
    <t>ファイルは出力しない。</t>
    <phoneticPr fontId="4"/>
  </si>
  <si>
    <t>プレフィックスのジョブIDから下は、ジョブネット(ステートマシン)の起動日時を使用する。</t>
    <rPh sb="15" eb="16">
      <t>シタ</t>
    </rPh>
    <rPh sb="34" eb="38">
      <t>キドウニチジ</t>
    </rPh>
    <rPh sb="39" eb="41">
      <t>シヨウ</t>
    </rPh>
    <phoneticPr fontId="4"/>
  </si>
  <si>
    <t>送信バケット</t>
    <rPh sb="0" eb="2">
      <t>ソウシン</t>
    </rPh>
    <phoneticPr fontId="4"/>
  </si>
  <si>
    <t>送信ファイル</t>
    <rPh sb="0" eb="2">
      <t>ソウシン</t>
    </rPh>
    <phoneticPr fontId="4"/>
  </si>
  <si>
    <t>暗号化前の送信ファイル。</t>
    <rPh sb="0" eb="4">
      <t>アンゴウカマエ</t>
    </rPh>
    <rPh sb="5" eb="7">
      <t>ソウシン</t>
    </rPh>
    <phoneticPr fontId="4"/>
  </si>
  <si>
    <t>[元と同じファイル名]</t>
    <rPh sb="1" eb="2">
      <t>モト</t>
    </rPh>
    <rPh sb="3" eb="4">
      <t>オナ</t>
    </rPh>
    <rPh sb="9" eb="10">
      <t>メイ</t>
    </rPh>
    <phoneticPr fontId="4"/>
  </si>
  <si>
    <t>出力ファイルをコピーして作成する。</t>
    <rPh sb="0" eb="2">
      <t>シュツリョク</t>
    </rPh>
    <rPh sb="12" eb="14">
      <t>サクセイ</t>
    </rPh>
    <phoneticPr fontId="4"/>
  </si>
  <si>
    <t>送信ファイル(暗号</t>
    <rPh sb="0" eb="2">
      <t>ソウシン</t>
    </rPh>
    <rPh sb="7" eb="9">
      <t>アンゴウ</t>
    </rPh>
    <phoneticPr fontId="4"/>
  </si>
  <si>
    <t>SFTPコネクタで実際に送信するファイル。</t>
    <rPh sb="9" eb="11">
      <t>ジッサイ</t>
    </rPh>
    <rPh sb="12" eb="14">
      <t>ソウシン</t>
    </rPh>
    <phoneticPr fontId="4"/>
  </si>
  <si>
    <t>化)</t>
    <phoneticPr fontId="4"/>
  </si>
  <si>
    <t>送信ファイルをPGPで暗号化して</t>
    <rPh sb="0" eb="2">
      <t>ソウシン</t>
    </rPh>
    <rPh sb="11" eb="14">
      <t>アンゴウカ</t>
    </rPh>
    <phoneticPr fontId="4"/>
  </si>
  <si>
    <t>作成する。</t>
    <phoneticPr fontId="4"/>
  </si>
  <si>
    <t>出力ファイルの存在チェック</t>
    <rPh sb="0" eb="2">
      <t>シュツリョク</t>
    </rPh>
    <rPh sb="7" eb="9">
      <t>ソンザイ</t>
    </rPh>
    <phoneticPr fontId="6"/>
  </si>
  <si>
    <t>出力ファイルの存在確認は、Step FunctionsのステートからS3のHeadObjectを呼び出すことで判定する。</t>
  </si>
  <si>
    <t>これはAWS SDK統合を利用し、ファイルが存在する場合は正常終了、ファイルが存在しない場合はエラーとなるので、</t>
    <phoneticPr fontId="4"/>
  </si>
  <si>
    <t>ステートマシン内でハンドリングしジョブネットの後続の処理を決定する。</t>
    <phoneticPr fontId="4"/>
  </si>
  <si>
    <t>開閉局</t>
  </si>
  <si>
    <t>【5.1.3.開閉局】と同様。</t>
    <rPh sb="7" eb="9">
      <t>カイヘイ</t>
    </rPh>
    <rPh sb="9" eb="10">
      <t>キョク</t>
    </rPh>
    <rPh sb="12" eb="14">
      <t>ドウヨウ</t>
    </rPh>
    <phoneticPr fontId="4"/>
  </si>
  <si>
    <t>エラー処理</t>
  </si>
  <si>
    <t>S3アクセスなどでエラーが発生した場合、エラーログを出力することでCloudWatchによる監視で障害を検知する。</t>
    <rPh sb="13" eb="15">
      <t>ハッセイ</t>
    </rPh>
    <rPh sb="17" eb="19">
      <t>バアイ</t>
    </rPh>
    <rPh sb="26" eb="28">
      <t>シュツリョク</t>
    </rPh>
    <rPh sb="46" eb="48">
      <t>カンシ</t>
    </rPh>
    <rPh sb="49" eb="51">
      <t>ショウガイ</t>
    </rPh>
    <rPh sb="52" eb="54">
      <t>ケンチ</t>
    </rPh>
    <phoneticPr fontId="4"/>
  </si>
  <si>
    <t>なお、バッチプログラムでエラーが発生した場合の処理については、【4.1.9.エラー処理】に従うものとする。</t>
    <rPh sb="16" eb="18">
      <t>ハッセイ</t>
    </rPh>
    <rPh sb="20" eb="22">
      <t>バアイ</t>
    </rPh>
    <rPh sb="23" eb="25">
      <t>ショリ</t>
    </rPh>
    <rPh sb="45" eb="46">
      <t>シタガ</t>
    </rPh>
    <phoneticPr fontId="4"/>
  </si>
  <si>
    <t>ただしSFTPコネクタによるファイル送信は非同期で行われるため、送信リクエスト自体はSFTPの成否に関わらず正常終了する。</t>
    <rPh sb="18" eb="20">
      <t>ソウシン</t>
    </rPh>
    <rPh sb="21" eb="24">
      <t>ヒドウキ</t>
    </rPh>
    <rPh sb="25" eb="26">
      <t>オコナ</t>
    </rPh>
    <rPh sb="32" eb="34">
      <t>ソウシン</t>
    </rPh>
    <rPh sb="39" eb="41">
      <t>ジタイ</t>
    </rPh>
    <rPh sb="47" eb="49">
      <t>セイヒ</t>
    </rPh>
    <rPh sb="50" eb="51">
      <t>カカ</t>
    </rPh>
    <rPh sb="54" eb="56">
      <t>セイジョウ</t>
    </rPh>
    <rPh sb="56" eb="58">
      <t>シュウリョウ</t>
    </rPh>
    <phoneticPr fontId="4"/>
  </si>
  <si>
    <t>したがって、SFTP送信のエラーについてはCloudWatchのログを監視することで検知する。</t>
    <rPh sb="10" eb="12">
      <t>ソウシン</t>
    </rPh>
    <rPh sb="35" eb="37">
      <t>カンシ</t>
    </rPh>
    <rPh sb="42" eb="44">
      <t>ケンチ</t>
    </rPh>
    <phoneticPr fontId="4"/>
  </si>
  <si>
    <t>リカバリ方法</t>
    <phoneticPr fontId="4"/>
  </si>
  <si>
    <t>ファイル配信において障害が発生した場合のリカバリ方法を以下に示す。</t>
  </si>
  <si>
    <t>(1)</t>
    <phoneticPr fontId="4"/>
  </si>
  <si>
    <t>ファイル配信障害のリカバリ方法</t>
    <rPh sb="4" eb="6">
      <t>ハイシン</t>
    </rPh>
    <rPh sb="6" eb="8">
      <t>ショウガイ</t>
    </rPh>
    <rPh sb="13" eb="15">
      <t>ホウホウ</t>
    </rPh>
    <phoneticPr fontId="4"/>
  </si>
  <si>
    <t>障害発生時と同じファイルが出力されるように入力パラメータを指定し、配信のジョブネットを手動で実行する。</t>
    <rPh sb="0" eb="2">
      <t>ショウガイ</t>
    </rPh>
    <rPh sb="2" eb="5">
      <t>ハッセイジ</t>
    </rPh>
    <rPh sb="6" eb="7">
      <t>オナ</t>
    </rPh>
    <rPh sb="13" eb="15">
      <t>シュツリョク</t>
    </rPh>
    <rPh sb="21" eb="23">
      <t>ニュウリョク</t>
    </rPh>
    <rPh sb="29" eb="31">
      <t>シテイ</t>
    </rPh>
    <rPh sb="33" eb="35">
      <t>ハイシン</t>
    </rPh>
    <rPh sb="43" eb="45">
      <t>シュドウ</t>
    </rPh>
    <rPh sb="46" eb="48">
      <t>ジッコウ</t>
    </rPh>
    <phoneticPr fontId="4"/>
  </si>
  <si>
    <t>software.amazon.awssdk:ssm (AWS SDKのAWS Systems Manager用モジュール)</t>
    <rPh sb="55" eb="56">
      <t>ヨウ</t>
    </rPh>
    <phoneticPr fontId="4"/>
  </si>
  <si>
    <t>スペースの都合上省略しているが、ジョブネットはEvent Bridgeから直接は起動せず、重複起動防止用の</t>
    <rPh sb="5" eb="8">
      <t>ツゴウジョウ</t>
    </rPh>
    <rPh sb="8" eb="10">
      <t>ショウリャク</t>
    </rPh>
    <rPh sb="37" eb="39">
      <t>チョクセツ</t>
    </rPh>
    <rPh sb="40" eb="42">
      <t>キドウ</t>
    </rPh>
    <rPh sb="45" eb="52">
      <t>チョウフクキドウボウシヨウ</t>
    </rPh>
    <phoneticPr fontId="5"/>
  </si>
  <si>
    <t>Lambda関数を経由して起動する。</t>
    <rPh sb="9" eb="11">
      <t>ケイユ</t>
    </rPh>
    <rPh sb="13" eb="15">
      <t>キドウ</t>
    </rPh>
    <phoneticPr fontId="5"/>
  </si>
  <si>
    <t>送信バケットは、SFTPコネクタによって送信するファイルの入力元となる。また、連携先へ送信したファイルを</t>
    <rPh sb="0" eb="2">
      <t>ソウシン</t>
    </rPh>
    <rPh sb="20" eb="22">
      <t>ソウシン</t>
    </rPh>
    <rPh sb="29" eb="31">
      <t>ニュウリョク</t>
    </rPh>
    <rPh sb="31" eb="32">
      <t>モト</t>
    </rPh>
    <phoneticPr fontId="4"/>
  </si>
  <si>
    <t>履歴として保管する役割も持つ。</t>
    <phoneticPr fontId="4"/>
  </si>
  <si>
    <t>出力バケットに出力されたファイルを送信バケットに移動し、PGPで暗号化したうえでSFTPコネクタを使って</t>
    <rPh sb="0" eb="2">
      <t>シュツリョク</t>
    </rPh>
    <rPh sb="7" eb="9">
      <t>シュツリョク</t>
    </rPh>
    <rPh sb="17" eb="19">
      <t>ソウシン</t>
    </rPh>
    <rPh sb="24" eb="26">
      <t>イドウ</t>
    </rPh>
    <rPh sb="32" eb="35">
      <t>アンゴウカ</t>
    </rPh>
    <rPh sb="49" eb="50">
      <t>ツカ</t>
    </rPh>
    <phoneticPr fontId="4"/>
  </si>
  <si>
    <t>ファイルの配信を行う。</t>
    <phoneticPr fontId="4"/>
  </si>
  <si>
    <t>[ジョブID]/[yyyy]/[MM]/[dd]</t>
    <phoneticPr fontId="4"/>
  </si>
  <si>
    <t>/[HHmmss]/</t>
    <phoneticPr fontId="4"/>
  </si>
  <si>
    <t>/[HHmmss]/encrypted/</t>
    <phoneticPr fontId="4"/>
  </si>
  <si>
    <t>処理対象のデータ未存在などの理由でバッチプログラムが出力ファイルを生成しないことがある場合、ジョブネット内で出力ファイルの</t>
    <phoneticPr fontId="4"/>
  </si>
  <si>
    <t>存在確認を行う。</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</si>
</sst>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9"/>
      <name val="ＭＳ 明朝"/>
      <family val="1"/>
      <charset val="128"/>
    </font>
    <font>
      <sz val="6"/>
      <name val="ＭＳ Ｐゴシック"/>
      <family val="3"/>
      <charset val="128"/>
      <scheme val="minor"/>
    </font>
    <font>
      <sz val="9"/>
      <color theme="1"/>
      <name val="ＭＳ 明朝"/>
      <family val="1"/>
      <charset val="128"/>
    </font>
    <font>
      <sz val="6"/>
      <name val="ＭＳ Ｐゴシック"/>
      <family val="2"/>
      <charset val="128"/>
      <scheme val="minor"/>
    </font>
    <font>
      <sz val="6"/>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4"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3" fillId="0" borderId="0"/>
    <xf numFmtId="0" fontId="3" fillId="0" borderId="0"/>
    <xf numFmtId="0" fontId="3" fillId="0" borderId="0"/>
    <xf numFmtId="0" fontId="2" fillId="0" borderId="0">
      <alignment vertical="center"/>
    </xf>
    <xf numFmtId="0" fontId="1" fillId="0" borderId="0">
      <alignment vertical="center"/>
    </xf>
  </cellStyleXfs>
  <cellXfs count="66">
    <xf numFmtId="0" fontId="0" fillId="0" borderId="0" xfId="0"/>
    <xf numFmtId="0" fontId="3" fillId="2" borderId="1" xfId="1" applyFill="1" applyBorder="1" applyAlignment="1">
      <alignment vertical="center"/>
    </xf>
    <xf numFmtId="0" fontId="3" fillId="2" borderId="2" xfId="1" applyFill="1" applyBorder="1" applyAlignment="1">
      <alignment vertical="center"/>
    </xf>
    <xf numFmtId="0" fontId="3" fillId="2" borderId="3" xfId="1" applyFill="1" applyBorder="1" applyAlignment="1">
      <alignment vertical="center"/>
    </xf>
    <xf numFmtId="0" fontId="5" fillId="0" borderId="0" xfId="4" applyFont="1">
      <alignment vertical="center"/>
    </xf>
    <xf numFmtId="0" fontId="3" fillId="2" borderId="4" xfId="1" applyFill="1" applyBorder="1" applyAlignment="1">
      <alignment vertical="center"/>
    </xf>
    <xf numFmtId="0" fontId="3" fillId="2" borderId="5" xfId="1" applyFill="1" applyBorder="1" applyAlignment="1">
      <alignment vertical="center"/>
    </xf>
    <xf numFmtId="0" fontId="3" fillId="2" borderId="6" xfId="1" applyFill="1" applyBorder="1" applyAlignment="1">
      <alignment vertical="center"/>
    </xf>
    <xf numFmtId="0" fontId="3" fillId="2" borderId="7" xfId="1" applyFill="1" applyBorder="1" applyAlignment="1">
      <alignment vertical="center"/>
    </xf>
    <xf numFmtId="0" fontId="3" fillId="2" borderId="8" xfId="1" applyFill="1" applyBorder="1" applyAlignment="1">
      <alignment vertical="center"/>
    </xf>
    <xf numFmtId="0" fontId="3" fillId="2" borderId="2" xfId="1" quotePrefix="1" applyFill="1" applyBorder="1" applyAlignment="1">
      <alignment vertical="center"/>
    </xf>
    <xf numFmtId="49" fontId="3" fillId="2" borderId="2" xfId="1" applyNumberFormat="1" applyFill="1" applyBorder="1" applyAlignment="1">
      <alignment vertical="center"/>
    </xf>
    <xf numFmtId="0" fontId="3" fillId="2" borderId="10" xfId="1" applyFill="1" applyBorder="1" applyAlignment="1">
      <alignment vertical="center"/>
    </xf>
    <xf numFmtId="0" fontId="3" fillId="2" borderId="11" xfId="1" applyFill="1" applyBorder="1" applyAlignment="1">
      <alignment vertical="center"/>
    </xf>
    <xf numFmtId="0" fontId="3" fillId="2" borderId="12" xfId="1" applyFill="1" applyBorder="1" applyAlignment="1">
      <alignment vertical="center"/>
    </xf>
    <xf numFmtId="0" fontId="5" fillId="0" borderId="0" xfId="4" quotePrefix="1" applyFont="1" applyAlignment="1">
      <alignment horizontal="right" vertical="center"/>
    </xf>
    <xf numFmtId="0" fontId="5" fillId="0" borderId="0" xfId="0" applyFont="1" applyAlignment="1">
      <alignment vertical="center"/>
    </xf>
    <xf numFmtId="0" fontId="5" fillId="0" borderId="0" xfId="0" quotePrefix="1" applyFont="1" applyAlignment="1">
      <alignment horizontal="right" vertical="center"/>
    </xf>
    <xf numFmtId="0" fontId="5" fillId="0" borderId="4" xfId="4" applyFont="1" applyBorder="1">
      <alignment vertical="center"/>
    </xf>
    <xf numFmtId="0" fontId="5" fillId="0" borderId="5" xfId="4" applyFont="1" applyBorder="1">
      <alignment vertical="center"/>
    </xf>
    <xf numFmtId="0" fontId="5" fillId="0" borderId="6" xfId="4" applyFont="1" applyBorder="1">
      <alignment vertical="center"/>
    </xf>
    <xf numFmtId="0" fontId="5" fillId="0" borderId="10" xfId="4" applyFont="1" applyBorder="1">
      <alignment vertical="center"/>
    </xf>
    <xf numFmtId="0" fontId="5" fillId="0" borderId="11" xfId="4" applyFont="1" applyBorder="1">
      <alignment vertical="center"/>
    </xf>
    <xf numFmtId="0" fontId="5" fillId="0" borderId="12" xfId="4" applyFont="1" applyBorder="1">
      <alignment vertical="center"/>
    </xf>
    <xf numFmtId="0" fontId="5" fillId="0" borderId="0" xfId="0" applyFont="1" applyAlignment="1">
      <alignment horizontal="right" vertical="center"/>
    </xf>
    <xf numFmtId="0" fontId="5" fillId="0" borderId="1" xfId="0" applyFont="1" applyBorder="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5" fillId="3" borderId="1" xfId="0" applyFont="1" applyFill="1" applyBorder="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5" fillId="3" borderId="6" xfId="0" applyFont="1" applyFill="1" applyBorder="1" applyAlignment="1">
      <alignment vertical="center"/>
    </xf>
    <xf numFmtId="0" fontId="5" fillId="0" borderId="0" xfId="5" applyFont="1">
      <alignment vertical="center"/>
    </xf>
    <xf numFmtId="0" fontId="5" fillId="0" borderId="0" xfId="0" applyFont="1" applyBorder="1" applyAlignment="1">
      <alignment vertical="center"/>
    </xf>
    <xf numFmtId="0" fontId="5" fillId="3" borderId="1" xfId="4" applyFont="1" applyFill="1" applyBorder="1">
      <alignment vertical="center"/>
    </xf>
    <xf numFmtId="0" fontId="5" fillId="3" borderId="2" xfId="4" applyFont="1" applyFill="1" applyBorder="1">
      <alignment vertical="center"/>
    </xf>
    <xf numFmtId="0" fontId="5" fillId="3" borderId="3" xfId="4" applyFont="1" applyFill="1" applyBorder="1">
      <alignment vertical="center"/>
    </xf>
    <xf numFmtId="176" fontId="3" fillId="0" borderId="1" xfId="3" applyNumberFormat="1" applyBorder="1" applyAlignment="1">
      <alignment horizontal="right" vertical="center"/>
    </xf>
    <xf numFmtId="176" fontId="3" fillId="0" borderId="2" xfId="3" applyNumberFormat="1" applyBorder="1" applyAlignment="1">
      <alignment horizontal="right" vertical="center"/>
    </xf>
    <xf numFmtId="176" fontId="3" fillId="0" borderId="3" xfId="3" applyNumberFormat="1" applyBorder="1" applyAlignment="1">
      <alignment horizontal="right" vertical="center"/>
    </xf>
    <xf numFmtId="0" fontId="5" fillId="0" borderId="1" xfId="2" applyFont="1" applyBorder="1" applyAlignment="1">
      <alignment vertical="center"/>
    </xf>
    <xf numFmtId="0" fontId="5" fillId="0" borderId="2" xfId="2" applyFont="1" applyBorder="1" applyAlignment="1">
      <alignment vertical="center"/>
    </xf>
    <xf numFmtId="0" fontId="5" fillId="0" borderId="3" xfId="2" applyFont="1" applyBorder="1" applyAlignment="1">
      <alignment vertical="center"/>
    </xf>
    <xf numFmtId="0" fontId="5" fillId="0" borderId="1" xfId="1" applyFont="1" applyBorder="1" applyAlignment="1">
      <alignment horizontal="left" vertical="center" wrapText="1"/>
    </xf>
    <xf numFmtId="0" fontId="5" fillId="0" borderId="2" xfId="1" applyFont="1" applyBorder="1" applyAlignment="1">
      <alignment horizontal="left" vertical="center" wrapText="1"/>
    </xf>
    <xf numFmtId="0" fontId="5" fillId="0" borderId="3" xfId="1" applyFont="1" applyBorder="1" applyAlignment="1">
      <alignment horizontal="left" vertical="center" wrapText="1"/>
    </xf>
    <xf numFmtId="14" fontId="3" fillId="0" borderId="1" xfId="1" applyNumberFormat="1" applyBorder="1" applyAlignment="1">
      <alignment horizontal="left" vertical="center"/>
    </xf>
    <xf numFmtId="14" fontId="3" fillId="0" borderId="2" xfId="1" applyNumberFormat="1" applyBorder="1" applyAlignment="1">
      <alignment horizontal="left" vertical="center"/>
    </xf>
    <xf numFmtId="14" fontId="3" fillId="0" borderId="3" xfId="1" applyNumberFormat="1" applyBorder="1" applyAlignment="1">
      <alignment horizontal="left" vertical="center"/>
    </xf>
    <xf numFmtId="0" fontId="5"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5" fillId="0" borderId="10" xfId="1" applyFont="1" applyBorder="1" applyAlignment="1">
      <alignment horizontal="left" vertical="top" wrapText="1"/>
    </xf>
    <xf numFmtId="0" fontId="5" fillId="0" borderId="11" xfId="1" applyFont="1" applyBorder="1" applyAlignment="1">
      <alignment horizontal="left" vertical="top" wrapText="1"/>
    </xf>
    <xf numFmtId="0" fontId="5" fillId="0" borderId="12" xfId="1" applyFont="1" applyBorder="1" applyAlignment="1">
      <alignment horizontal="left" vertical="top" wrapText="1"/>
    </xf>
    <xf numFmtId="0" fontId="5" fillId="0" borderId="9" xfId="2" applyFont="1" applyBorder="1" applyAlignment="1">
      <alignment horizontal="left" vertical="center"/>
    </xf>
  </cellXfs>
  <cellStyles count="6">
    <cellStyle name="標準" xfId="0" builtinId="0"/>
    <cellStyle name="標準 2" xfId="4" xr:uid="{00000000-0005-0000-0000-000001000000}"/>
    <cellStyle name="標準 2 2" xfId="5" xr:uid="{980565F4-07AB-4FF6-AFBE-242ECE2C33AD}"/>
    <cellStyle name="標準 3 2 3" xfId="3" xr:uid="{00000000-0005-0000-0000-000002000000}"/>
    <cellStyle name="標準_画面標準" xfId="1" xr:uid="{00000000-0005-0000-0000-000003000000}"/>
    <cellStyle name="標準_画面標準定義" xfId="2"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19</xdr:col>
      <xdr:colOff>38100</xdr:colOff>
      <xdr:row>64</xdr:row>
      <xdr:rowOff>128256</xdr:rowOff>
    </xdr:from>
    <xdr:to>
      <xdr:col>21</xdr:col>
      <xdr:colOff>182217</xdr:colOff>
      <xdr:row>64</xdr:row>
      <xdr:rowOff>128256</xdr:rowOff>
    </xdr:to>
    <xdr:cxnSp macro="">
      <xdr:nvCxnSpPr>
        <xdr:cNvPr id="40" name="直線矢印コネクタ 39">
          <a:extLst>
            <a:ext uri="{FF2B5EF4-FFF2-40B4-BE49-F238E27FC236}">
              <a16:creationId xmlns:a16="http://schemas.microsoft.com/office/drawing/2014/main" id="{6A6F6FDC-DCD9-39DF-8E1A-729FBFE4124F}"/>
            </a:ext>
          </a:extLst>
        </xdr:cNvPr>
        <xdr:cNvCxnSpPr/>
      </xdr:nvCxnSpPr>
      <xdr:spPr>
        <a:xfrm flipH="1">
          <a:off x="5286375" y="9386556"/>
          <a:ext cx="696567"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38100</xdr:colOff>
      <xdr:row>60</xdr:row>
      <xdr:rowOff>71106</xdr:rowOff>
    </xdr:from>
    <xdr:to>
      <xdr:col>21</xdr:col>
      <xdr:colOff>182217</xdr:colOff>
      <xdr:row>60</xdr:row>
      <xdr:rowOff>71106</xdr:rowOff>
    </xdr:to>
    <xdr:cxnSp macro="">
      <xdr:nvCxnSpPr>
        <xdr:cNvPr id="2" name="直線矢印コネクタ 1">
          <a:extLst>
            <a:ext uri="{FF2B5EF4-FFF2-40B4-BE49-F238E27FC236}">
              <a16:creationId xmlns:a16="http://schemas.microsoft.com/office/drawing/2014/main" id="{D6D0671A-3C26-F02B-9664-A1A5CA3305EC}"/>
            </a:ext>
          </a:extLst>
        </xdr:cNvPr>
        <xdr:cNvCxnSpPr/>
      </xdr:nvCxnSpPr>
      <xdr:spPr>
        <a:xfrm flipH="1">
          <a:off x="5286375" y="8757906"/>
          <a:ext cx="696567"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99393</xdr:colOff>
      <xdr:row>50</xdr:row>
      <xdr:rowOff>112108</xdr:rowOff>
    </xdr:from>
    <xdr:to>
      <xdr:col>21</xdr:col>
      <xdr:colOff>198783</xdr:colOff>
      <xdr:row>50</xdr:row>
      <xdr:rowOff>112108</xdr:rowOff>
    </xdr:to>
    <xdr:cxnSp macro="">
      <xdr:nvCxnSpPr>
        <xdr:cNvPr id="59" name="直線矢印コネクタ 58">
          <a:extLst>
            <a:ext uri="{FF2B5EF4-FFF2-40B4-BE49-F238E27FC236}">
              <a16:creationId xmlns:a16="http://schemas.microsoft.com/office/drawing/2014/main" id="{6299FCAB-1C83-C4CA-1034-621626BBA4CF}"/>
            </a:ext>
          </a:extLst>
        </xdr:cNvPr>
        <xdr:cNvCxnSpPr/>
      </xdr:nvCxnSpPr>
      <xdr:spPr>
        <a:xfrm flipH="1">
          <a:off x="4472610" y="7417369"/>
          <a:ext cx="146602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33130</xdr:colOff>
      <xdr:row>30</xdr:row>
      <xdr:rowOff>94937</xdr:rowOff>
    </xdr:from>
    <xdr:to>
      <xdr:col>25</xdr:col>
      <xdr:colOff>37195</xdr:colOff>
      <xdr:row>77</xdr:row>
      <xdr:rowOff>39812</xdr:rowOff>
    </xdr:to>
    <xdr:cxnSp macro="">
      <xdr:nvCxnSpPr>
        <xdr:cNvPr id="64" name="直線コネクタ 63">
          <a:extLst>
            <a:ext uri="{FF2B5EF4-FFF2-40B4-BE49-F238E27FC236}">
              <a16:creationId xmlns:a16="http://schemas.microsoft.com/office/drawing/2014/main" id="{61E9A140-9335-0ECA-593F-777DFB1EC20D}"/>
            </a:ext>
          </a:extLst>
        </xdr:cNvPr>
        <xdr:cNvCxnSpPr>
          <a:stCxn id="6" idx="2"/>
        </xdr:cNvCxnSpPr>
      </xdr:nvCxnSpPr>
      <xdr:spPr>
        <a:xfrm flipH="1">
          <a:off x="6938755" y="4495487"/>
          <a:ext cx="4065" cy="66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182217</xdr:colOff>
      <xdr:row>67</xdr:row>
      <xdr:rowOff>18090</xdr:rowOff>
    </xdr:from>
    <xdr:to>
      <xdr:col>25</xdr:col>
      <xdr:colOff>8283</xdr:colOff>
      <xdr:row>67</xdr:row>
      <xdr:rowOff>18090</xdr:rowOff>
    </xdr:to>
    <xdr:cxnSp macro="">
      <xdr:nvCxnSpPr>
        <xdr:cNvPr id="51" name="直線矢印コネクタ 50">
          <a:extLst>
            <a:ext uri="{FF2B5EF4-FFF2-40B4-BE49-F238E27FC236}">
              <a16:creationId xmlns:a16="http://schemas.microsoft.com/office/drawing/2014/main" id="{34D58249-1C79-1B97-7D33-62AFD774553B}"/>
            </a:ext>
          </a:extLst>
        </xdr:cNvPr>
        <xdr:cNvCxnSpPr/>
      </xdr:nvCxnSpPr>
      <xdr:spPr>
        <a:xfrm>
          <a:off x="5982942" y="9705015"/>
          <a:ext cx="930966"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206375</xdr:colOff>
      <xdr:row>30</xdr:row>
      <xdr:rowOff>94938</xdr:rowOff>
    </xdr:from>
    <xdr:to>
      <xdr:col>21</xdr:col>
      <xdr:colOff>206375</xdr:colOff>
      <xdr:row>77</xdr:row>
      <xdr:rowOff>39813</xdr:rowOff>
    </xdr:to>
    <xdr:cxnSp macro="">
      <xdr:nvCxnSpPr>
        <xdr:cNvPr id="41" name="直線コネクタ 40">
          <a:extLst>
            <a:ext uri="{FF2B5EF4-FFF2-40B4-BE49-F238E27FC236}">
              <a16:creationId xmlns:a16="http://schemas.microsoft.com/office/drawing/2014/main" id="{5D9F687D-3BD3-D617-529C-2F6C114889FB}"/>
            </a:ext>
          </a:extLst>
        </xdr:cNvPr>
        <xdr:cNvCxnSpPr>
          <a:stCxn id="17" idx="2"/>
        </xdr:cNvCxnSpPr>
      </xdr:nvCxnSpPr>
      <xdr:spPr>
        <a:xfrm>
          <a:off x="6007100" y="4495488"/>
          <a:ext cx="0" cy="66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33131</xdr:colOff>
      <xdr:row>73</xdr:row>
      <xdr:rowOff>69852</xdr:rowOff>
    </xdr:from>
    <xdr:to>
      <xdr:col>28</xdr:col>
      <xdr:colOff>265044</xdr:colOff>
      <xdr:row>73</xdr:row>
      <xdr:rowOff>69852</xdr:rowOff>
    </xdr:to>
    <xdr:cxnSp macro="">
      <xdr:nvCxnSpPr>
        <xdr:cNvPr id="120" name="直線矢印コネクタ 119">
          <a:extLst>
            <a:ext uri="{FF2B5EF4-FFF2-40B4-BE49-F238E27FC236}">
              <a16:creationId xmlns:a16="http://schemas.microsoft.com/office/drawing/2014/main" id="{0ECD1AAA-FC6B-E3FC-B7B9-3D6F0B6A00A3}"/>
            </a:ext>
          </a:extLst>
        </xdr:cNvPr>
        <xdr:cNvCxnSpPr/>
      </xdr:nvCxnSpPr>
      <xdr:spPr>
        <a:xfrm>
          <a:off x="6938756" y="10614027"/>
          <a:ext cx="1060588"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265043</xdr:colOff>
      <xdr:row>36</xdr:row>
      <xdr:rowOff>103830</xdr:rowOff>
    </xdr:from>
    <xdr:to>
      <xdr:col>12</xdr:col>
      <xdr:colOff>160920</xdr:colOff>
      <xdr:row>36</xdr:row>
      <xdr:rowOff>103830</xdr:rowOff>
    </xdr:to>
    <xdr:cxnSp macro="">
      <xdr:nvCxnSpPr>
        <xdr:cNvPr id="19" name="直線矢印コネクタ 18">
          <a:extLst>
            <a:ext uri="{FF2B5EF4-FFF2-40B4-BE49-F238E27FC236}">
              <a16:creationId xmlns:a16="http://schemas.microsoft.com/office/drawing/2014/main" id="{CE4D0A8F-0EEF-4907-9B69-896C9B2D25A9}"/>
            </a:ext>
          </a:extLst>
        </xdr:cNvPr>
        <xdr:cNvCxnSpPr/>
      </xdr:nvCxnSpPr>
      <xdr:spPr>
        <a:xfrm>
          <a:off x="2724978" y="5437830"/>
          <a:ext cx="71585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207065</xdr:colOff>
      <xdr:row>46</xdr:row>
      <xdr:rowOff>128676</xdr:rowOff>
    </xdr:from>
    <xdr:to>
      <xdr:col>21</xdr:col>
      <xdr:colOff>182217</xdr:colOff>
      <xdr:row>46</xdr:row>
      <xdr:rowOff>128676</xdr:rowOff>
    </xdr:to>
    <xdr:cxnSp macro="">
      <xdr:nvCxnSpPr>
        <xdr:cNvPr id="42" name="直線矢印コネクタ 41">
          <a:extLst>
            <a:ext uri="{FF2B5EF4-FFF2-40B4-BE49-F238E27FC236}">
              <a16:creationId xmlns:a16="http://schemas.microsoft.com/office/drawing/2014/main" id="{D7CC59E9-0CCA-E49C-EC5E-19989E7AA806}"/>
            </a:ext>
          </a:extLst>
        </xdr:cNvPr>
        <xdr:cNvCxnSpPr/>
      </xdr:nvCxnSpPr>
      <xdr:spPr>
        <a:xfrm>
          <a:off x="2667000" y="6870719"/>
          <a:ext cx="325506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193952</xdr:colOff>
      <xdr:row>30</xdr:row>
      <xdr:rowOff>94937</xdr:rowOff>
    </xdr:from>
    <xdr:to>
      <xdr:col>9</xdr:col>
      <xdr:colOff>193953</xdr:colOff>
      <xdr:row>77</xdr:row>
      <xdr:rowOff>39812</xdr:rowOff>
    </xdr:to>
    <xdr:cxnSp macro="">
      <xdr:nvCxnSpPr>
        <xdr:cNvPr id="22" name="直線コネクタ 21">
          <a:extLst>
            <a:ext uri="{FF2B5EF4-FFF2-40B4-BE49-F238E27FC236}">
              <a16:creationId xmlns:a16="http://schemas.microsoft.com/office/drawing/2014/main" id="{20BF9B48-48D7-9088-553A-9AFD8776EBBE}"/>
            </a:ext>
          </a:extLst>
        </xdr:cNvPr>
        <xdr:cNvCxnSpPr>
          <a:stCxn id="16" idx="2"/>
        </xdr:cNvCxnSpPr>
      </xdr:nvCxnSpPr>
      <xdr:spPr>
        <a:xfrm>
          <a:off x="2679977" y="4495487"/>
          <a:ext cx="1" cy="66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140805</xdr:colOff>
      <xdr:row>35</xdr:row>
      <xdr:rowOff>57978</xdr:rowOff>
    </xdr:from>
    <xdr:to>
      <xdr:col>9</xdr:col>
      <xdr:colOff>257175</xdr:colOff>
      <xdr:row>76</xdr:row>
      <xdr:rowOff>66675</xdr:rowOff>
    </xdr:to>
    <xdr:sp macro="" textlink="">
      <xdr:nvSpPr>
        <xdr:cNvPr id="47" name="正方形/長方形 46">
          <a:extLst>
            <a:ext uri="{FF2B5EF4-FFF2-40B4-BE49-F238E27FC236}">
              <a16:creationId xmlns:a16="http://schemas.microsoft.com/office/drawing/2014/main" id="{75A786A5-9945-45F1-914C-A0668E5488D2}"/>
            </a:ext>
          </a:extLst>
        </xdr:cNvPr>
        <xdr:cNvSpPr/>
      </xdr:nvSpPr>
      <xdr:spPr>
        <a:xfrm>
          <a:off x="2626830" y="5172903"/>
          <a:ext cx="116370" cy="5866572"/>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48</xdr:col>
      <xdr:colOff>146957</xdr:colOff>
      <xdr:row>81</xdr:row>
      <xdr:rowOff>0</xdr:rowOff>
    </xdr:from>
    <xdr:to>
      <xdr:col>49</xdr:col>
      <xdr:colOff>171450</xdr:colOff>
      <xdr:row>83</xdr:row>
      <xdr:rowOff>32658</xdr:rowOff>
    </xdr:to>
    <xdr:sp macro="" textlink="">
      <xdr:nvSpPr>
        <xdr:cNvPr id="12" name="AutoShape 1">
          <a:extLst>
            <a:ext uri="{FF2B5EF4-FFF2-40B4-BE49-F238E27FC236}">
              <a16:creationId xmlns:a16="http://schemas.microsoft.com/office/drawing/2014/main" id="{4B026E5F-9F90-45F2-AEBA-CDEB8366C9E6}"/>
            </a:ext>
          </a:extLst>
        </xdr:cNvPr>
        <xdr:cNvSpPr>
          <a:spLocks noChangeAspect="1" noChangeArrowheads="1"/>
        </xdr:cNvSpPr>
      </xdr:nvSpPr>
      <xdr:spPr bwMode="auto">
        <a:xfrm>
          <a:off x="13405757" y="8738507"/>
          <a:ext cx="300718" cy="31840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49</xdr:col>
      <xdr:colOff>142875</xdr:colOff>
      <xdr:row>81</xdr:row>
      <xdr:rowOff>0</xdr:rowOff>
    </xdr:from>
    <xdr:to>
      <xdr:col>50</xdr:col>
      <xdr:colOff>167368</xdr:colOff>
      <xdr:row>83</xdr:row>
      <xdr:rowOff>32658</xdr:rowOff>
    </xdr:to>
    <xdr:sp macro="" textlink="">
      <xdr:nvSpPr>
        <xdr:cNvPr id="13" name="AutoShape 2">
          <a:extLst>
            <a:ext uri="{FF2B5EF4-FFF2-40B4-BE49-F238E27FC236}">
              <a16:creationId xmlns:a16="http://schemas.microsoft.com/office/drawing/2014/main" id="{A9CDD3F4-CAF5-462B-8EEF-5D765B343B7F}"/>
            </a:ext>
          </a:extLst>
        </xdr:cNvPr>
        <xdr:cNvSpPr>
          <a:spLocks noChangeAspect="1" noChangeArrowheads="1"/>
        </xdr:cNvSpPr>
      </xdr:nvSpPr>
      <xdr:spPr bwMode="auto">
        <a:xfrm>
          <a:off x="13677900" y="8289471"/>
          <a:ext cx="300718" cy="31840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50</xdr:col>
      <xdr:colOff>19050</xdr:colOff>
      <xdr:row>81</xdr:row>
      <xdr:rowOff>0</xdr:rowOff>
    </xdr:from>
    <xdr:to>
      <xdr:col>51</xdr:col>
      <xdr:colOff>43543</xdr:colOff>
      <xdr:row>83</xdr:row>
      <xdr:rowOff>32657</xdr:rowOff>
    </xdr:to>
    <xdr:sp macro="" textlink="">
      <xdr:nvSpPr>
        <xdr:cNvPr id="14" name="AutoShape 3">
          <a:extLst>
            <a:ext uri="{FF2B5EF4-FFF2-40B4-BE49-F238E27FC236}">
              <a16:creationId xmlns:a16="http://schemas.microsoft.com/office/drawing/2014/main" id="{4E1C147B-E075-43AC-8EBC-6C92F54072EA}"/>
            </a:ext>
          </a:extLst>
        </xdr:cNvPr>
        <xdr:cNvSpPr>
          <a:spLocks noChangeAspect="1" noChangeArrowheads="1"/>
        </xdr:cNvSpPr>
      </xdr:nvSpPr>
      <xdr:spPr bwMode="auto">
        <a:xfrm>
          <a:off x="13830300" y="8441871"/>
          <a:ext cx="300718" cy="31840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11</xdr:col>
      <xdr:colOff>2</xdr:colOff>
      <xdr:row>27</xdr:row>
      <xdr:rowOff>55563</xdr:rowOff>
    </xdr:from>
    <xdr:to>
      <xdr:col>14</xdr:col>
      <xdr:colOff>171729</xdr:colOff>
      <xdr:row>30</xdr:row>
      <xdr:rowOff>94938</xdr:rowOff>
    </xdr:to>
    <xdr:sp macro="" textlink="">
      <xdr:nvSpPr>
        <xdr:cNvPr id="4" name="四角形: 角を丸くする 3">
          <a:extLst>
            <a:ext uri="{FF2B5EF4-FFF2-40B4-BE49-F238E27FC236}">
              <a16:creationId xmlns:a16="http://schemas.microsoft.com/office/drawing/2014/main" id="{3B45B68A-1574-4874-B407-156EEAAAE0B9}"/>
            </a:ext>
          </a:extLst>
        </xdr:cNvPr>
        <xdr:cNvSpPr/>
      </xdr:nvSpPr>
      <xdr:spPr>
        <a:xfrm>
          <a:off x="3006589" y="4122324"/>
          <a:ext cx="991705" cy="461788"/>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700"/>
            <a:t>バッチプログラム</a:t>
          </a:r>
          <a:endParaRPr kumimoji="1" lang="en-US" altLang="ja-JP" sz="700"/>
        </a:p>
        <a:p>
          <a:pPr algn="ctr"/>
          <a:r>
            <a:rPr kumimoji="1" lang="en-US" altLang="ja-JP" sz="700"/>
            <a:t>:ECS</a:t>
          </a:r>
          <a:r>
            <a:rPr kumimoji="1" lang="ja-JP" altLang="en-US" sz="700"/>
            <a:t>タスク</a:t>
          </a:r>
        </a:p>
      </xdr:txBody>
    </xdr:sp>
    <xdr:clientData/>
  </xdr:twoCellAnchor>
  <xdr:twoCellAnchor>
    <xdr:from>
      <xdr:col>23</xdr:col>
      <xdr:colOff>8129</xdr:colOff>
      <xdr:row>27</xdr:row>
      <xdr:rowOff>55563</xdr:rowOff>
    </xdr:from>
    <xdr:to>
      <xdr:col>27</xdr:col>
      <xdr:colOff>66260</xdr:colOff>
      <xdr:row>30</xdr:row>
      <xdr:rowOff>94938</xdr:rowOff>
    </xdr:to>
    <xdr:sp macro="" textlink="">
      <xdr:nvSpPr>
        <xdr:cNvPr id="6" name="四角形: 角を丸くする 5">
          <a:extLst>
            <a:ext uri="{FF2B5EF4-FFF2-40B4-BE49-F238E27FC236}">
              <a16:creationId xmlns:a16="http://schemas.microsoft.com/office/drawing/2014/main" id="{44D9FAF6-60C4-74A4-46CC-42740603A173}"/>
            </a:ext>
          </a:extLst>
        </xdr:cNvPr>
        <xdr:cNvSpPr/>
      </xdr:nvSpPr>
      <xdr:spPr>
        <a:xfrm>
          <a:off x="6294629" y="4122324"/>
          <a:ext cx="1151435" cy="461788"/>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800"/>
            <a:t>SFTP</a:t>
          </a:r>
          <a:r>
            <a:rPr kumimoji="1" lang="ja-JP" altLang="en-US" sz="800"/>
            <a:t>コネクタ</a:t>
          </a:r>
          <a:endParaRPr kumimoji="1" lang="en-US" altLang="ja-JP" sz="800"/>
        </a:p>
        <a:p>
          <a:pPr algn="ctr"/>
          <a:r>
            <a:rPr kumimoji="1" lang="en-US" altLang="ja-JP" sz="800"/>
            <a:t>: Transfer Family</a:t>
          </a:r>
          <a:endParaRPr kumimoji="1" lang="ja-JP" altLang="en-US" sz="800"/>
        </a:p>
      </xdr:txBody>
    </xdr:sp>
    <xdr:clientData/>
  </xdr:twoCellAnchor>
  <xdr:twoCellAnchor>
    <xdr:from>
      <xdr:col>14</xdr:col>
      <xdr:colOff>192821</xdr:colOff>
      <xdr:row>27</xdr:row>
      <xdr:rowOff>55563</xdr:rowOff>
    </xdr:from>
    <xdr:to>
      <xdr:col>17</xdr:col>
      <xdr:colOff>145196</xdr:colOff>
      <xdr:row>30</xdr:row>
      <xdr:rowOff>94938</xdr:rowOff>
    </xdr:to>
    <xdr:sp macro="" textlink="">
      <xdr:nvSpPr>
        <xdr:cNvPr id="10" name="四角形: 角を丸くする 9">
          <a:extLst>
            <a:ext uri="{FF2B5EF4-FFF2-40B4-BE49-F238E27FC236}">
              <a16:creationId xmlns:a16="http://schemas.microsoft.com/office/drawing/2014/main" id="{35157343-6376-81AC-0086-96C50F3E6296}"/>
            </a:ext>
          </a:extLst>
        </xdr:cNvPr>
        <xdr:cNvSpPr/>
      </xdr:nvSpPr>
      <xdr:spPr>
        <a:xfrm>
          <a:off x="4019386" y="4122324"/>
          <a:ext cx="772353" cy="461788"/>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700"/>
            <a:t>出力バケット</a:t>
          </a:r>
          <a:endParaRPr kumimoji="1" lang="en-US" altLang="ja-JP" sz="700"/>
        </a:p>
        <a:p>
          <a:pPr algn="ctr"/>
          <a:r>
            <a:rPr kumimoji="1" lang="en-US" altLang="ja-JP" sz="700"/>
            <a:t>:S3</a:t>
          </a:r>
          <a:endParaRPr kumimoji="1" lang="ja-JP" altLang="en-US" sz="700"/>
        </a:p>
      </xdr:txBody>
    </xdr:sp>
    <xdr:clientData/>
  </xdr:twoCellAnchor>
  <xdr:twoCellAnchor>
    <xdr:from>
      <xdr:col>5</xdr:col>
      <xdr:colOff>172903</xdr:colOff>
      <xdr:row>27</xdr:row>
      <xdr:rowOff>55563</xdr:rowOff>
    </xdr:from>
    <xdr:to>
      <xdr:col>8</xdr:col>
      <xdr:colOff>117338</xdr:colOff>
      <xdr:row>30</xdr:row>
      <xdr:rowOff>94938</xdr:rowOff>
    </xdr:to>
    <xdr:sp macro="" textlink="">
      <xdr:nvSpPr>
        <xdr:cNvPr id="11" name="四角形: 角を丸くする 10">
          <a:extLst>
            <a:ext uri="{FF2B5EF4-FFF2-40B4-BE49-F238E27FC236}">
              <a16:creationId xmlns:a16="http://schemas.microsoft.com/office/drawing/2014/main" id="{7FEBF38B-A8BD-2917-21F8-7EDF0B1050C1}"/>
            </a:ext>
          </a:extLst>
        </xdr:cNvPr>
        <xdr:cNvSpPr/>
      </xdr:nvSpPr>
      <xdr:spPr>
        <a:xfrm>
          <a:off x="1539533" y="4122324"/>
          <a:ext cx="764414" cy="461788"/>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700"/>
            <a:t>EventBridge</a:t>
          </a:r>
          <a:endParaRPr kumimoji="1" lang="ja-JP" altLang="en-US" sz="700"/>
        </a:p>
      </xdr:txBody>
    </xdr:sp>
    <xdr:clientData/>
  </xdr:twoCellAnchor>
  <xdr:twoCellAnchor>
    <xdr:from>
      <xdr:col>8</xdr:col>
      <xdr:colOff>138390</xdr:colOff>
      <xdr:row>27</xdr:row>
      <xdr:rowOff>55563</xdr:rowOff>
    </xdr:from>
    <xdr:to>
      <xdr:col>10</xdr:col>
      <xdr:colOff>249514</xdr:colOff>
      <xdr:row>30</xdr:row>
      <xdr:rowOff>94938</xdr:rowOff>
    </xdr:to>
    <xdr:sp macro="" textlink="">
      <xdr:nvSpPr>
        <xdr:cNvPr id="16" name="四角形: 角を丸くする 15">
          <a:extLst>
            <a:ext uri="{FF2B5EF4-FFF2-40B4-BE49-F238E27FC236}">
              <a16:creationId xmlns:a16="http://schemas.microsoft.com/office/drawing/2014/main" id="{3FE1525B-5F4D-39F2-EC55-5F110509348C}"/>
            </a:ext>
          </a:extLst>
        </xdr:cNvPr>
        <xdr:cNvSpPr/>
      </xdr:nvSpPr>
      <xdr:spPr>
        <a:xfrm>
          <a:off x="2324999" y="4122324"/>
          <a:ext cx="657776" cy="461788"/>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700"/>
            <a:t>Step</a:t>
          </a:r>
          <a:endParaRPr kumimoji="1" lang="en-US" altLang="ja-JP" sz="700" baseline="0"/>
        </a:p>
        <a:p>
          <a:pPr algn="ctr"/>
          <a:r>
            <a:rPr kumimoji="1" lang="en-US" altLang="ja-JP" sz="700" baseline="0"/>
            <a:t>Functions</a:t>
          </a:r>
          <a:endParaRPr kumimoji="1" lang="ja-JP" altLang="en-US" sz="700"/>
        </a:p>
      </xdr:txBody>
    </xdr:sp>
    <xdr:clientData/>
  </xdr:twoCellAnchor>
  <xdr:twoCellAnchor>
    <xdr:from>
      <xdr:col>20</xdr:col>
      <xdr:colOff>147707</xdr:colOff>
      <xdr:row>27</xdr:row>
      <xdr:rowOff>55563</xdr:rowOff>
    </xdr:from>
    <xdr:to>
      <xdr:col>22</xdr:col>
      <xdr:colOff>265042</xdr:colOff>
      <xdr:row>30</xdr:row>
      <xdr:rowOff>94938</xdr:rowOff>
    </xdr:to>
    <xdr:sp macro="" textlink="">
      <xdr:nvSpPr>
        <xdr:cNvPr id="17" name="四角形: 角を丸くする 16">
          <a:extLst>
            <a:ext uri="{FF2B5EF4-FFF2-40B4-BE49-F238E27FC236}">
              <a16:creationId xmlns:a16="http://schemas.microsoft.com/office/drawing/2014/main" id="{E7C90BC4-8C23-9526-0B4B-46FF325B8E63}"/>
            </a:ext>
          </a:extLst>
        </xdr:cNvPr>
        <xdr:cNvSpPr/>
      </xdr:nvSpPr>
      <xdr:spPr>
        <a:xfrm>
          <a:off x="5614229" y="4122324"/>
          <a:ext cx="663987" cy="461788"/>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700"/>
            <a:t>送信処理</a:t>
          </a:r>
          <a:endParaRPr kumimoji="1" lang="en-US" altLang="ja-JP" sz="700"/>
        </a:p>
        <a:p>
          <a:pPr algn="ctr"/>
          <a:r>
            <a:rPr kumimoji="1" lang="en-US" altLang="ja-JP" sz="700"/>
            <a:t>:Lambda</a:t>
          </a:r>
          <a:endParaRPr kumimoji="1" lang="ja-JP" altLang="en-US" sz="700"/>
        </a:p>
      </xdr:txBody>
    </xdr:sp>
    <xdr:clientData/>
  </xdr:twoCellAnchor>
  <xdr:twoCellAnchor>
    <xdr:from>
      <xdr:col>10</xdr:col>
      <xdr:colOff>27213</xdr:colOff>
      <xdr:row>34</xdr:row>
      <xdr:rowOff>93768</xdr:rowOff>
    </xdr:from>
    <xdr:to>
      <xdr:col>12</xdr:col>
      <xdr:colOff>82993</xdr:colOff>
      <xdr:row>36</xdr:row>
      <xdr:rowOff>52805</xdr:rowOff>
    </xdr:to>
    <xdr:sp macro="" textlink="">
      <xdr:nvSpPr>
        <xdr:cNvPr id="20" name="正方形/長方形 19">
          <a:extLst>
            <a:ext uri="{FF2B5EF4-FFF2-40B4-BE49-F238E27FC236}">
              <a16:creationId xmlns:a16="http://schemas.microsoft.com/office/drawing/2014/main" id="{1F51BE43-C328-4C93-B269-CBBDF8686C7D}"/>
            </a:ext>
          </a:extLst>
        </xdr:cNvPr>
        <xdr:cNvSpPr/>
      </xdr:nvSpPr>
      <xdr:spPr>
        <a:xfrm>
          <a:off x="2760474" y="5146159"/>
          <a:ext cx="602432" cy="240646"/>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起動</a:t>
          </a:r>
        </a:p>
      </xdr:txBody>
    </xdr:sp>
    <xdr:clientData/>
  </xdr:twoCellAnchor>
  <xdr:twoCellAnchor>
    <xdr:from>
      <xdr:col>12</xdr:col>
      <xdr:colOff>218898</xdr:colOff>
      <xdr:row>30</xdr:row>
      <xdr:rowOff>94937</xdr:rowOff>
    </xdr:from>
    <xdr:to>
      <xdr:col>12</xdr:col>
      <xdr:colOff>222529</xdr:colOff>
      <xdr:row>77</xdr:row>
      <xdr:rowOff>39812</xdr:rowOff>
    </xdr:to>
    <xdr:cxnSp macro="">
      <xdr:nvCxnSpPr>
        <xdr:cNvPr id="24" name="直線コネクタ 23">
          <a:extLst>
            <a:ext uri="{FF2B5EF4-FFF2-40B4-BE49-F238E27FC236}">
              <a16:creationId xmlns:a16="http://schemas.microsoft.com/office/drawing/2014/main" id="{83484A6F-7D4B-512B-3CC1-F71EDB8F30CA}"/>
            </a:ext>
          </a:extLst>
        </xdr:cNvPr>
        <xdr:cNvCxnSpPr>
          <a:stCxn id="4" idx="2"/>
        </xdr:cNvCxnSpPr>
      </xdr:nvCxnSpPr>
      <xdr:spPr>
        <a:xfrm flipH="1">
          <a:off x="3533598" y="4495487"/>
          <a:ext cx="3631" cy="66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8457</xdr:colOff>
      <xdr:row>30</xdr:row>
      <xdr:rowOff>94938</xdr:rowOff>
    </xdr:from>
    <xdr:to>
      <xdr:col>7</xdr:col>
      <xdr:colOff>16565</xdr:colOff>
      <xdr:row>77</xdr:row>
      <xdr:rowOff>39813</xdr:rowOff>
    </xdr:to>
    <xdr:cxnSp macro="">
      <xdr:nvCxnSpPr>
        <xdr:cNvPr id="28" name="直線コネクタ 27">
          <a:extLst>
            <a:ext uri="{FF2B5EF4-FFF2-40B4-BE49-F238E27FC236}">
              <a16:creationId xmlns:a16="http://schemas.microsoft.com/office/drawing/2014/main" id="{48086C60-CEEF-9E91-01B8-CF0CBEA84684}"/>
            </a:ext>
          </a:extLst>
        </xdr:cNvPr>
        <xdr:cNvCxnSpPr>
          <a:stCxn id="11" idx="2"/>
        </xdr:cNvCxnSpPr>
      </xdr:nvCxnSpPr>
      <xdr:spPr>
        <a:xfrm>
          <a:off x="1942032" y="4495488"/>
          <a:ext cx="8108" cy="66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255954</xdr:colOff>
      <xdr:row>33</xdr:row>
      <xdr:rowOff>78988</xdr:rowOff>
    </xdr:from>
    <xdr:to>
      <xdr:col>7</xdr:col>
      <xdr:colOff>3549</xdr:colOff>
      <xdr:row>33</xdr:row>
      <xdr:rowOff>78988</xdr:rowOff>
    </xdr:to>
    <xdr:cxnSp macro="">
      <xdr:nvCxnSpPr>
        <xdr:cNvPr id="29" name="直線矢印コネクタ 28">
          <a:extLst>
            <a:ext uri="{FF2B5EF4-FFF2-40B4-BE49-F238E27FC236}">
              <a16:creationId xmlns:a16="http://schemas.microsoft.com/office/drawing/2014/main" id="{1B2449FB-9CF1-C9BE-11B9-79994F1644F0}"/>
            </a:ext>
          </a:extLst>
        </xdr:cNvPr>
        <xdr:cNvCxnSpPr/>
      </xdr:nvCxnSpPr>
      <xdr:spPr>
        <a:xfrm>
          <a:off x="1075932" y="4990575"/>
          <a:ext cx="8409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190500</xdr:colOff>
      <xdr:row>31</xdr:row>
      <xdr:rowOff>68926</xdr:rowOff>
    </xdr:from>
    <xdr:to>
      <xdr:col>7</xdr:col>
      <xdr:colOff>35661</xdr:colOff>
      <xdr:row>33</xdr:row>
      <xdr:rowOff>27963</xdr:rowOff>
    </xdr:to>
    <xdr:sp macro="" textlink="">
      <xdr:nvSpPr>
        <xdr:cNvPr id="30" name="正方形/長方形 29">
          <a:extLst>
            <a:ext uri="{FF2B5EF4-FFF2-40B4-BE49-F238E27FC236}">
              <a16:creationId xmlns:a16="http://schemas.microsoft.com/office/drawing/2014/main" id="{EEE72129-A778-669A-7B75-C5233EAA9229}"/>
            </a:ext>
          </a:extLst>
        </xdr:cNvPr>
        <xdr:cNvSpPr/>
      </xdr:nvSpPr>
      <xdr:spPr>
        <a:xfrm>
          <a:off x="1010478" y="4698904"/>
          <a:ext cx="938466" cy="240646"/>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起動イベント</a:t>
          </a:r>
        </a:p>
      </xdr:txBody>
    </xdr:sp>
    <xdr:clientData/>
  </xdr:twoCellAnchor>
  <xdr:twoCellAnchor>
    <xdr:from>
      <xdr:col>7</xdr:col>
      <xdr:colOff>7476</xdr:colOff>
      <xdr:row>35</xdr:row>
      <xdr:rowOff>54139</xdr:rowOff>
    </xdr:from>
    <xdr:to>
      <xdr:col>9</xdr:col>
      <xdr:colOff>190500</xdr:colOff>
      <xdr:row>35</xdr:row>
      <xdr:rowOff>54139</xdr:rowOff>
    </xdr:to>
    <xdr:cxnSp macro="">
      <xdr:nvCxnSpPr>
        <xdr:cNvPr id="31" name="直線矢印コネクタ 30">
          <a:extLst>
            <a:ext uri="{FF2B5EF4-FFF2-40B4-BE49-F238E27FC236}">
              <a16:creationId xmlns:a16="http://schemas.microsoft.com/office/drawing/2014/main" id="{68F9995A-FF10-564B-7C1A-08DF1CB9C245}"/>
            </a:ext>
          </a:extLst>
        </xdr:cNvPr>
        <xdr:cNvCxnSpPr/>
      </xdr:nvCxnSpPr>
      <xdr:spPr>
        <a:xfrm>
          <a:off x="1920759" y="5247335"/>
          <a:ext cx="729676"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60343</xdr:colOff>
      <xdr:row>33</xdr:row>
      <xdr:rowOff>77209</xdr:rowOff>
    </xdr:from>
    <xdr:to>
      <xdr:col>9</xdr:col>
      <xdr:colOff>116123</xdr:colOff>
      <xdr:row>35</xdr:row>
      <xdr:rowOff>36246</xdr:rowOff>
    </xdr:to>
    <xdr:sp macro="" textlink="">
      <xdr:nvSpPr>
        <xdr:cNvPr id="32" name="正方形/長方形 31">
          <a:extLst>
            <a:ext uri="{FF2B5EF4-FFF2-40B4-BE49-F238E27FC236}">
              <a16:creationId xmlns:a16="http://schemas.microsoft.com/office/drawing/2014/main" id="{D98FFCF3-BA06-34DD-8852-6B6172D141DF}"/>
            </a:ext>
          </a:extLst>
        </xdr:cNvPr>
        <xdr:cNvSpPr/>
      </xdr:nvSpPr>
      <xdr:spPr>
        <a:xfrm>
          <a:off x="1973626" y="4988796"/>
          <a:ext cx="602432" cy="240646"/>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起動</a:t>
          </a:r>
        </a:p>
      </xdr:txBody>
    </xdr:sp>
    <xdr:clientData/>
  </xdr:twoCellAnchor>
  <xdr:twoCellAnchor>
    <xdr:from>
      <xdr:col>12</xdr:col>
      <xdr:colOff>222823</xdr:colOff>
      <xdr:row>38</xdr:row>
      <xdr:rowOff>87265</xdr:rowOff>
    </xdr:from>
    <xdr:to>
      <xdr:col>16</xdr:col>
      <xdr:colOff>24848</xdr:colOff>
      <xdr:row>38</xdr:row>
      <xdr:rowOff>87265</xdr:rowOff>
    </xdr:to>
    <xdr:cxnSp macro="">
      <xdr:nvCxnSpPr>
        <xdr:cNvPr id="35" name="直線矢印コネクタ 34">
          <a:extLst>
            <a:ext uri="{FF2B5EF4-FFF2-40B4-BE49-F238E27FC236}">
              <a16:creationId xmlns:a16="http://schemas.microsoft.com/office/drawing/2014/main" id="{5DE319B0-3267-86D0-346D-0091BADFEA39}"/>
            </a:ext>
          </a:extLst>
        </xdr:cNvPr>
        <xdr:cNvCxnSpPr/>
      </xdr:nvCxnSpPr>
      <xdr:spPr>
        <a:xfrm>
          <a:off x="3502736" y="5702874"/>
          <a:ext cx="895329"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217711</xdr:colOff>
      <xdr:row>36</xdr:row>
      <xdr:rowOff>82821</xdr:rowOff>
    </xdr:from>
    <xdr:to>
      <xdr:col>16</xdr:col>
      <xdr:colOff>8282</xdr:colOff>
      <xdr:row>38</xdr:row>
      <xdr:rowOff>36240</xdr:rowOff>
    </xdr:to>
    <xdr:sp macro="" textlink="">
      <xdr:nvSpPr>
        <xdr:cNvPr id="36" name="正方形/長方形 35">
          <a:extLst>
            <a:ext uri="{FF2B5EF4-FFF2-40B4-BE49-F238E27FC236}">
              <a16:creationId xmlns:a16="http://schemas.microsoft.com/office/drawing/2014/main" id="{B6039910-AC6E-F6C2-78CC-9A7247AB7FEF}"/>
            </a:ext>
          </a:extLst>
        </xdr:cNvPr>
        <xdr:cNvSpPr/>
      </xdr:nvSpPr>
      <xdr:spPr>
        <a:xfrm>
          <a:off x="3497624" y="5416821"/>
          <a:ext cx="883875" cy="235028"/>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ファイル出力</a:t>
          </a:r>
        </a:p>
      </xdr:txBody>
    </xdr:sp>
    <xdr:clientData/>
  </xdr:twoCellAnchor>
  <xdr:twoCellAnchor>
    <xdr:from>
      <xdr:col>16</xdr:col>
      <xdr:colOff>32346</xdr:colOff>
      <xdr:row>30</xdr:row>
      <xdr:rowOff>94937</xdr:rowOff>
    </xdr:from>
    <xdr:to>
      <xdr:col>16</xdr:col>
      <xdr:colOff>41413</xdr:colOff>
      <xdr:row>77</xdr:row>
      <xdr:rowOff>39812</xdr:rowOff>
    </xdr:to>
    <xdr:cxnSp macro="">
      <xdr:nvCxnSpPr>
        <xdr:cNvPr id="38" name="直線コネクタ 37">
          <a:extLst>
            <a:ext uri="{FF2B5EF4-FFF2-40B4-BE49-F238E27FC236}">
              <a16:creationId xmlns:a16="http://schemas.microsoft.com/office/drawing/2014/main" id="{6D39624D-F9F1-FEF4-332E-C02E6DBD2E8F}"/>
            </a:ext>
          </a:extLst>
        </xdr:cNvPr>
        <xdr:cNvCxnSpPr>
          <a:stCxn id="10" idx="2"/>
        </xdr:cNvCxnSpPr>
      </xdr:nvCxnSpPr>
      <xdr:spPr>
        <a:xfrm>
          <a:off x="4451946" y="4495487"/>
          <a:ext cx="9067" cy="66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151450</xdr:colOff>
      <xdr:row>44</xdr:row>
      <xdr:rowOff>124231</xdr:rowOff>
    </xdr:from>
    <xdr:to>
      <xdr:col>12</xdr:col>
      <xdr:colOff>215347</xdr:colOff>
      <xdr:row>46</xdr:row>
      <xdr:rowOff>77651</xdr:rowOff>
    </xdr:to>
    <xdr:sp macro="" textlink="">
      <xdr:nvSpPr>
        <xdr:cNvPr id="43" name="正方形/長方形 42">
          <a:extLst>
            <a:ext uri="{FF2B5EF4-FFF2-40B4-BE49-F238E27FC236}">
              <a16:creationId xmlns:a16="http://schemas.microsoft.com/office/drawing/2014/main" id="{864AAAA7-A779-F68F-AF6C-58CD42299B10}"/>
            </a:ext>
          </a:extLst>
        </xdr:cNvPr>
        <xdr:cNvSpPr/>
      </xdr:nvSpPr>
      <xdr:spPr>
        <a:xfrm>
          <a:off x="2611385" y="6584666"/>
          <a:ext cx="883875" cy="235028"/>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起動</a:t>
          </a:r>
        </a:p>
      </xdr:txBody>
    </xdr:sp>
    <xdr:clientData/>
  </xdr:twoCellAnchor>
  <xdr:twoCellAnchor>
    <xdr:from>
      <xdr:col>22</xdr:col>
      <xdr:colOff>8282</xdr:colOff>
      <xdr:row>65</xdr:row>
      <xdr:rowOff>46775</xdr:rowOff>
    </xdr:from>
    <xdr:to>
      <xdr:col>24</xdr:col>
      <xdr:colOff>190499</xdr:colOff>
      <xdr:row>67</xdr:row>
      <xdr:rowOff>194</xdr:rowOff>
    </xdr:to>
    <xdr:sp macro="" textlink="">
      <xdr:nvSpPr>
        <xdr:cNvPr id="55" name="正方形/長方形 54">
          <a:extLst>
            <a:ext uri="{FF2B5EF4-FFF2-40B4-BE49-F238E27FC236}">
              <a16:creationId xmlns:a16="http://schemas.microsoft.com/office/drawing/2014/main" id="{CBEA460F-4F69-6619-D023-FC1BB9D57237}"/>
            </a:ext>
          </a:extLst>
        </xdr:cNvPr>
        <xdr:cNvSpPr/>
      </xdr:nvSpPr>
      <xdr:spPr>
        <a:xfrm>
          <a:off x="6085232" y="9447950"/>
          <a:ext cx="734667" cy="239169"/>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送信指示</a:t>
          </a:r>
        </a:p>
      </xdr:txBody>
    </xdr:sp>
    <xdr:clientData/>
  </xdr:twoCellAnchor>
  <xdr:twoCellAnchor>
    <xdr:from>
      <xdr:col>7</xdr:col>
      <xdr:colOff>198783</xdr:colOff>
      <xdr:row>42</xdr:row>
      <xdr:rowOff>41407</xdr:rowOff>
    </xdr:from>
    <xdr:to>
      <xdr:col>30</xdr:col>
      <xdr:colOff>123826</xdr:colOff>
      <xdr:row>76</xdr:row>
      <xdr:rowOff>28575</xdr:rowOff>
    </xdr:to>
    <xdr:sp macro="" textlink="">
      <xdr:nvSpPr>
        <xdr:cNvPr id="56" name="正方形/長方形 55">
          <a:extLst>
            <a:ext uri="{FF2B5EF4-FFF2-40B4-BE49-F238E27FC236}">
              <a16:creationId xmlns:a16="http://schemas.microsoft.com/office/drawing/2014/main" id="{16F51C9E-4DB0-76CA-EA6C-7A9B3EFF23F8}"/>
            </a:ext>
          </a:extLst>
        </xdr:cNvPr>
        <xdr:cNvSpPr/>
      </xdr:nvSpPr>
      <xdr:spPr>
        <a:xfrm>
          <a:off x="2132358" y="6156457"/>
          <a:ext cx="6278218" cy="4844918"/>
        </a:xfrm>
        <a:prstGeom prst="rect">
          <a:avLst/>
        </a:prstGeom>
        <a:no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198782</xdr:colOff>
      <xdr:row>42</xdr:row>
      <xdr:rowOff>41407</xdr:rowOff>
    </xdr:from>
    <xdr:to>
      <xdr:col>13</xdr:col>
      <xdr:colOff>16565</xdr:colOff>
      <xdr:row>44</xdr:row>
      <xdr:rowOff>107668</xdr:rowOff>
    </xdr:to>
    <xdr:sp macro="" textlink="">
      <xdr:nvSpPr>
        <xdr:cNvPr id="57" name="四角形: 1 つの角を切り取る 56">
          <a:extLst>
            <a:ext uri="{FF2B5EF4-FFF2-40B4-BE49-F238E27FC236}">
              <a16:creationId xmlns:a16="http://schemas.microsoft.com/office/drawing/2014/main" id="{63CF99B9-E1FB-AAC7-CCCC-9DDD232D1E5F}"/>
            </a:ext>
          </a:extLst>
        </xdr:cNvPr>
        <xdr:cNvSpPr/>
      </xdr:nvSpPr>
      <xdr:spPr>
        <a:xfrm rot="10800000" flipH="1">
          <a:off x="2112065" y="6220233"/>
          <a:ext cx="1457739" cy="347870"/>
        </a:xfrm>
        <a:prstGeom prst="snip1Rect">
          <a:avLst>
            <a:gd name="adj" fmla="val 50000"/>
          </a:avLst>
        </a:prstGeom>
        <a:no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225994</xdr:colOff>
      <xdr:row>42</xdr:row>
      <xdr:rowOff>107666</xdr:rowOff>
    </xdr:from>
    <xdr:to>
      <xdr:col>13</xdr:col>
      <xdr:colOff>219075</xdr:colOff>
      <xdr:row>44</xdr:row>
      <xdr:rowOff>61085</xdr:rowOff>
    </xdr:to>
    <xdr:sp macro="" textlink="">
      <xdr:nvSpPr>
        <xdr:cNvPr id="58" name="正方形/長方形 57">
          <a:extLst>
            <a:ext uri="{FF2B5EF4-FFF2-40B4-BE49-F238E27FC236}">
              <a16:creationId xmlns:a16="http://schemas.microsoft.com/office/drawing/2014/main" id="{0EC02F73-C6C7-4460-19F6-A1270D4633BE}"/>
            </a:ext>
          </a:extLst>
        </xdr:cNvPr>
        <xdr:cNvSpPr/>
      </xdr:nvSpPr>
      <xdr:spPr>
        <a:xfrm>
          <a:off x="2159569" y="6222716"/>
          <a:ext cx="1650431" cy="239169"/>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900"/>
            <a:t>ファイルが存在する場合</a:t>
          </a:r>
        </a:p>
      </xdr:txBody>
    </xdr:sp>
    <xdr:clientData/>
  </xdr:twoCellAnchor>
  <xdr:twoCellAnchor>
    <xdr:from>
      <xdr:col>27</xdr:col>
      <xdr:colOff>82674</xdr:colOff>
      <xdr:row>27</xdr:row>
      <xdr:rowOff>55563</xdr:rowOff>
    </xdr:from>
    <xdr:to>
      <xdr:col>30</xdr:col>
      <xdr:colOff>258887</xdr:colOff>
      <xdr:row>30</xdr:row>
      <xdr:rowOff>94938</xdr:rowOff>
    </xdr:to>
    <xdr:sp macro="" textlink="">
      <xdr:nvSpPr>
        <xdr:cNvPr id="61" name="四角形: 角を丸くする 60">
          <a:extLst>
            <a:ext uri="{FF2B5EF4-FFF2-40B4-BE49-F238E27FC236}">
              <a16:creationId xmlns:a16="http://schemas.microsoft.com/office/drawing/2014/main" id="{A7E09C89-360D-DEE1-AB96-831F688538CB}"/>
            </a:ext>
          </a:extLst>
        </xdr:cNvPr>
        <xdr:cNvSpPr/>
      </xdr:nvSpPr>
      <xdr:spPr>
        <a:xfrm>
          <a:off x="7462478" y="4122324"/>
          <a:ext cx="996192" cy="461788"/>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連携先</a:t>
          </a:r>
          <a:endParaRPr kumimoji="1" lang="en-US" altLang="ja-JP" sz="800"/>
        </a:p>
        <a:p>
          <a:pPr algn="ctr"/>
          <a:r>
            <a:rPr kumimoji="1" lang="en-US" altLang="ja-JP" sz="800"/>
            <a:t>:SFTP</a:t>
          </a:r>
          <a:r>
            <a:rPr kumimoji="1" lang="ja-JP" altLang="en-US" sz="800"/>
            <a:t>サーバ</a:t>
          </a:r>
        </a:p>
      </xdr:txBody>
    </xdr:sp>
    <xdr:clientData/>
  </xdr:twoCellAnchor>
  <xdr:twoCellAnchor>
    <xdr:from>
      <xdr:col>28</xdr:col>
      <xdr:colOff>259626</xdr:colOff>
      <xdr:row>30</xdr:row>
      <xdr:rowOff>94938</xdr:rowOff>
    </xdr:from>
    <xdr:to>
      <xdr:col>29</xdr:col>
      <xdr:colOff>34117</xdr:colOff>
      <xdr:row>77</xdr:row>
      <xdr:rowOff>39813</xdr:rowOff>
    </xdr:to>
    <xdr:cxnSp macro="">
      <xdr:nvCxnSpPr>
        <xdr:cNvPr id="66" name="直線コネクタ 65">
          <a:extLst>
            <a:ext uri="{FF2B5EF4-FFF2-40B4-BE49-F238E27FC236}">
              <a16:creationId xmlns:a16="http://schemas.microsoft.com/office/drawing/2014/main" id="{0A9BAE91-61AF-4993-2788-1F90B92F32B5}"/>
            </a:ext>
          </a:extLst>
        </xdr:cNvPr>
        <xdr:cNvCxnSpPr>
          <a:cxnSpLocks/>
          <a:stCxn id="61" idx="2"/>
        </xdr:cNvCxnSpPr>
      </xdr:nvCxnSpPr>
      <xdr:spPr>
        <a:xfrm flipH="1">
          <a:off x="7993926" y="4495488"/>
          <a:ext cx="50716" cy="66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66261</xdr:colOff>
      <xdr:row>52</xdr:row>
      <xdr:rowOff>16554</xdr:rowOff>
    </xdr:from>
    <xdr:to>
      <xdr:col>18</xdr:col>
      <xdr:colOff>248477</xdr:colOff>
      <xdr:row>53</xdr:row>
      <xdr:rowOff>110778</xdr:rowOff>
    </xdr:to>
    <xdr:sp macro="" textlink="">
      <xdr:nvSpPr>
        <xdr:cNvPr id="71" name="正方形/長方形 70">
          <a:extLst>
            <a:ext uri="{FF2B5EF4-FFF2-40B4-BE49-F238E27FC236}">
              <a16:creationId xmlns:a16="http://schemas.microsoft.com/office/drawing/2014/main" id="{58FAE0E9-BE33-7D17-2D0F-D58714EA209F}"/>
            </a:ext>
          </a:extLst>
        </xdr:cNvPr>
        <xdr:cNvSpPr/>
      </xdr:nvSpPr>
      <xdr:spPr>
        <a:xfrm>
          <a:off x="4439478" y="7603424"/>
          <a:ext cx="728869" cy="235028"/>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コピー</a:t>
          </a:r>
        </a:p>
      </xdr:txBody>
    </xdr:sp>
    <xdr:clientData/>
  </xdr:twoCellAnchor>
  <xdr:twoCellAnchor>
    <xdr:from>
      <xdr:col>17</xdr:col>
      <xdr:colOff>167974</xdr:colOff>
      <xdr:row>27</xdr:row>
      <xdr:rowOff>55563</xdr:rowOff>
    </xdr:from>
    <xdr:to>
      <xdr:col>20</xdr:col>
      <xdr:colOff>120348</xdr:colOff>
      <xdr:row>30</xdr:row>
      <xdr:rowOff>94938</xdr:rowOff>
    </xdr:to>
    <xdr:sp macro="" textlink="">
      <xdr:nvSpPr>
        <xdr:cNvPr id="72" name="四角形: 角を丸くする 71">
          <a:extLst>
            <a:ext uri="{FF2B5EF4-FFF2-40B4-BE49-F238E27FC236}">
              <a16:creationId xmlns:a16="http://schemas.microsoft.com/office/drawing/2014/main" id="{BEB3B78B-9A33-5FA6-E538-F1846919AC7B}"/>
            </a:ext>
          </a:extLst>
        </xdr:cNvPr>
        <xdr:cNvSpPr/>
      </xdr:nvSpPr>
      <xdr:spPr>
        <a:xfrm>
          <a:off x="4814517" y="4122324"/>
          <a:ext cx="772353" cy="461788"/>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700"/>
            <a:t>送信バケット</a:t>
          </a:r>
          <a:endParaRPr kumimoji="1" lang="en-US" altLang="ja-JP" sz="700"/>
        </a:p>
        <a:p>
          <a:pPr algn="ctr"/>
          <a:r>
            <a:rPr kumimoji="1" lang="en-US" altLang="ja-JP" sz="700"/>
            <a:t>:S3</a:t>
          </a:r>
          <a:endParaRPr kumimoji="1" lang="ja-JP" altLang="en-US" sz="700"/>
        </a:p>
      </xdr:txBody>
    </xdr:sp>
    <xdr:clientData/>
  </xdr:twoCellAnchor>
  <xdr:twoCellAnchor>
    <xdr:from>
      <xdr:col>19</xdr:col>
      <xdr:colOff>7498</xdr:colOff>
      <xdr:row>30</xdr:row>
      <xdr:rowOff>94937</xdr:rowOff>
    </xdr:from>
    <xdr:to>
      <xdr:col>19</xdr:col>
      <xdr:colOff>16565</xdr:colOff>
      <xdr:row>77</xdr:row>
      <xdr:rowOff>39812</xdr:rowOff>
    </xdr:to>
    <xdr:cxnSp macro="">
      <xdr:nvCxnSpPr>
        <xdr:cNvPr id="73" name="直線コネクタ 72">
          <a:extLst>
            <a:ext uri="{FF2B5EF4-FFF2-40B4-BE49-F238E27FC236}">
              <a16:creationId xmlns:a16="http://schemas.microsoft.com/office/drawing/2014/main" id="{1EE82F82-DB1F-B30E-07E5-49395DA216F3}"/>
            </a:ext>
          </a:extLst>
        </xdr:cNvPr>
        <xdr:cNvCxnSpPr>
          <a:stCxn id="72" idx="2"/>
        </xdr:cNvCxnSpPr>
      </xdr:nvCxnSpPr>
      <xdr:spPr>
        <a:xfrm>
          <a:off x="5255773" y="4495487"/>
          <a:ext cx="9067" cy="66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231913</xdr:colOff>
      <xdr:row>47</xdr:row>
      <xdr:rowOff>28575</xdr:rowOff>
    </xdr:from>
    <xdr:to>
      <xdr:col>21</xdr:col>
      <xdr:colOff>207063</xdr:colOff>
      <xdr:row>51</xdr:row>
      <xdr:rowOff>9525</xdr:rowOff>
    </xdr:to>
    <xdr:sp macro="" textlink="">
      <xdr:nvSpPr>
        <xdr:cNvPr id="76" name="正方形/長方形 75">
          <a:extLst>
            <a:ext uri="{FF2B5EF4-FFF2-40B4-BE49-F238E27FC236}">
              <a16:creationId xmlns:a16="http://schemas.microsoft.com/office/drawing/2014/main" id="{CC39AB4D-677F-1B50-961B-8702CBB44DB1}"/>
            </a:ext>
          </a:extLst>
        </xdr:cNvPr>
        <xdr:cNvSpPr/>
      </xdr:nvSpPr>
      <xdr:spPr>
        <a:xfrm>
          <a:off x="4651513" y="6858000"/>
          <a:ext cx="1356275" cy="552450"/>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ファイルを</a:t>
          </a:r>
          <a:endParaRPr kumimoji="1" lang="en-US" altLang="ja-JP" sz="900"/>
        </a:p>
        <a:p>
          <a:pPr algn="ctr"/>
          <a:r>
            <a:rPr kumimoji="1" lang="ja-JP" altLang="en-US" sz="900"/>
            <a:t>送信バケットにコピー</a:t>
          </a:r>
        </a:p>
      </xdr:txBody>
    </xdr:sp>
    <xdr:clientData/>
  </xdr:twoCellAnchor>
  <xdr:twoCellAnchor>
    <xdr:from>
      <xdr:col>16</xdr:col>
      <xdr:colOff>57979</xdr:colOff>
      <xdr:row>54</xdr:row>
      <xdr:rowOff>4435</xdr:rowOff>
    </xdr:from>
    <xdr:to>
      <xdr:col>19</xdr:col>
      <xdr:colOff>0</xdr:colOff>
      <xdr:row>54</xdr:row>
      <xdr:rowOff>4435</xdr:rowOff>
    </xdr:to>
    <xdr:cxnSp macro="">
      <xdr:nvCxnSpPr>
        <xdr:cNvPr id="79" name="直線矢印コネクタ 78">
          <a:extLst>
            <a:ext uri="{FF2B5EF4-FFF2-40B4-BE49-F238E27FC236}">
              <a16:creationId xmlns:a16="http://schemas.microsoft.com/office/drawing/2014/main" id="{0A8C0411-EA68-B514-0DB0-47C575AA84D3}"/>
            </a:ext>
          </a:extLst>
        </xdr:cNvPr>
        <xdr:cNvCxnSpPr/>
      </xdr:nvCxnSpPr>
      <xdr:spPr>
        <a:xfrm>
          <a:off x="4431196" y="7872913"/>
          <a:ext cx="762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57979</xdr:colOff>
      <xdr:row>56</xdr:row>
      <xdr:rowOff>137781</xdr:rowOff>
    </xdr:from>
    <xdr:to>
      <xdr:col>21</xdr:col>
      <xdr:colOff>182217</xdr:colOff>
      <xdr:row>56</xdr:row>
      <xdr:rowOff>137781</xdr:rowOff>
    </xdr:to>
    <xdr:cxnSp macro="">
      <xdr:nvCxnSpPr>
        <xdr:cNvPr id="93" name="直線矢印コネクタ 92">
          <a:extLst>
            <a:ext uri="{FF2B5EF4-FFF2-40B4-BE49-F238E27FC236}">
              <a16:creationId xmlns:a16="http://schemas.microsoft.com/office/drawing/2014/main" id="{3C06F967-E2EB-543C-C715-B5AE37B305EC}"/>
            </a:ext>
          </a:extLst>
        </xdr:cNvPr>
        <xdr:cNvCxnSpPr/>
      </xdr:nvCxnSpPr>
      <xdr:spPr>
        <a:xfrm flipH="1">
          <a:off x="4477579" y="8253081"/>
          <a:ext cx="150536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142875</xdr:colOff>
      <xdr:row>55</xdr:row>
      <xdr:rowOff>31873</xdr:rowOff>
    </xdr:from>
    <xdr:to>
      <xdr:col>21</xdr:col>
      <xdr:colOff>224045</xdr:colOff>
      <xdr:row>56</xdr:row>
      <xdr:rowOff>126097</xdr:rowOff>
    </xdr:to>
    <xdr:sp macro="" textlink="">
      <xdr:nvSpPr>
        <xdr:cNvPr id="96" name="正方形/長方形 95">
          <a:extLst>
            <a:ext uri="{FF2B5EF4-FFF2-40B4-BE49-F238E27FC236}">
              <a16:creationId xmlns:a16="http://schemas.microsoft.com/office/drawing/2014/main" id="{1F8AD93B-9BD6-DA49-6BAB-267A13569670}"/>
            </a:ext>
          </a:extLst>
        </xdr:cNvPr>
        <xdr:cNvSpPr/>
      </xdr:nvSpPr>
      <xdr:spPr>
        <a:xfrm>
          <a:off x="5114925" y="8004298"/>
          <a:ext cx="909845" cy="237099"/>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ファイルを削除</a:t>
          </a:r>
        </a:p>
      </xdr:txBody>
    </xdr:sp>
    <xdr:clientData/>
  </xdr:twoCellAnchor>
  <xdr:twoCellAnchor>
    <xdr:from>
      <xdr:col>25</xdr:col>
      <xdr:colOff>99391</xdr:colOff>
      <xdr:row>70</xdr:row>
      <xdr:rowOff>13639</xdr:rowOff>
    </xdr:from>
    <xdr:to>
      <xdr:col>28</xdr:col>
      <xdr:colOff>231912</xdr:colOff>
      <xdr:row>73</xdr:row>
      <xdr:rowOff>25035</xdr:rowOff>
    </xdr:to>
    <xdr:sp macro="" textlink="">
      <xdr:nvSpPr>
        <xdr:cNvPr id="122" name="正方形/長方形 121">
          <a:extLst>
            <a:ext uri="{FF2B5EF4-FFF2-40B4-BE49-F238E27FC236}">
              <a16:creationId xmlns:a16="http://schemas.microsoft.com/office/drawing/2014/main" id="{F409EF03-1067-FE9F-0C89-C0DD75BBA617}"/>
            </a:ext>
          </a:extLst>
        </xdr:cNvPr>
        <xdr:cNvSpPr/>
      </xdr:nvSpPr>
      <xdr:spPr>
        <a:xfrm>
          <a:off x="7005016" y="10129189"/>
          <a:ext cx="961196" cy="440021"/>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SFTP</a:t>
          </a:r>
          <a:r>
            <a:rPr kumimoji="1" lang="ja-JP" altLang="en-US" sz="900"/>
            <a:t>で</a:t>
          </a:r>
          <a:endParaRPr kumimoji="1" lang="en-US" altLang="ja-JP" sz="900"/>
        </a:p>
        <a:p>
          <a:pPr algn="ctr"/>
          <a:r>
            <a:rPr kumimoji="1" lang="ja-JP" altLang="en-US" sz="900"/>
            <a:t>ファイルを</a:t>
          </a:r>
          <a:r>
            <a:rPr kumimoji="1" lang="en-US" altLang="ja-JP" sz="900"/>
            <a:t>PUT</a:t>
          </a:r>
          <a:endParaRPr kumimoji="1" lang="ja-JP" altLang="en-US" sz="900"/>
        </a:p>
      </xdr:txBody>
    </xdr:sp>
    <xdr:clientData/>
  </xdr:twoCellAnchor>
  <xdr:twoCellAnchor>
    <xdr:from>
      <xdr:col>15</xdr:col>
      <xdr:colOff>248480</xdr:colOff>
      <xdr:row>50</xdr:row>
      <xdr:rowOff>107662</xdr:rowOff>
    </xdr:from>
    <xdr:to>
      <xdr:col>16</xdr:col>
      <xdr:colOff>99392</xdr:colOff>
      <xdr:row>55</xdr:row>
      <xdr:rowOff>24837</xdr:rowOff>
    </xdr:to>
    <xdr:sp macro="" textlink="">
      <xdr:nvSpPr>
        <xdr:cNvPr id="126" name="正方形/長方形 125">
          <a:extLst>
            <a:ext uri="{FF2B5EF4-FFF2-40B4-BE49-F238E27FC236}">
              <a16:creationId xmlns:a16="http://schemas.microsoft.com/office/drawing/2014/main" id="{BEFF7E31-7CB3-59CE-B46F-1DCE96325632}"/>
            </a:ext>
          </a:extLst>
        </xdr:cNvPr>
        <xdr:cNvSpPr/>
      </xdr:nvSpPr>
      <xdr:spPr>
        <a:xfrm>
          <a:off x="4348371" y="7412923"/>
          <a:ext cx="124238" cy="621197"/>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157370</xdr:colOff>
      <xdr:row>46</xdr:row>
      <xdr:rowOff>140796</xdr:rowOff>
    </xdr:from>
    <xdr:to>
      <xdr:col>22</xdr:col>
      <xdr:colOff>0</xdr:colOff>
      <xdr:row>75</xdr:row>
      <xdr:rowOff>85725</xdr:rowOff>
    </xdr:to>
    <xdr:sp macro="" textlink="">
      <xdr:nvSpPr>
        <xdr:cNvPr id="48" name="正方形/長方形 47">
          <a:extLst>
            <a:ext uri="{FF2B5EF4-FFF2-40B4-BE49-F238E27FC236}">
              <a16:creationId xmlns:a16="http://schemas.microsoft.com/office/drawing/2014/main" id="{0DE79019-2544-2E76-1354-26F935F642A8}"/>
            </a:ext>
          </a:extLst>
        </xdr:cNvPr>
        <xdr:cNvSpPr/>
      </xdr:nvSpPr>
      <xdr:spPr>
        <a:xfrm>
          <a:off x="5958095" y="6827346"/>
          <a:ext cx="118855" cy="4088304"/>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20</xdr:col>
      <xdr:colOff>104775</xdr:colOff>
      <xdr:row>68</xdr:row>
      <xdr:rowOff>30205</xdr:rowOff>
    </xdr:from>
    <xdr:to>
      <xdr:col>25</xdr:col>
      <xdr:colOff>8281</xdr:colOff>
      <xdr:row>69</xdr:row>
      <xdr:rowOff>126499</xdr:rowOff>
    </xdr:to>
    <xdr:sp macro="" textlink="">
      <xdr:nvSpPr>
        <xdr:cNvPr id="112" name="正方形/長方形 111">
          <a:extLst>
            <a:ext uri="{FF2B5EF4-FFF2-40B4-BE49-F238E27FC236}">
              <a16:creationId xmlns:a16="http://schemas.microsoft.com/office/drawing/2014/main" id="{419E514B-0F53-9F55-BA2D-5396640BE052}"/>
            </a:ext>
          </a:extLst>
        </xdr:cNvPr>
        <xdr:cNvSpPr/>
      </xdr:nvSpPr>
      <xdr:spPr>
        <a:xfrm>
          <a:off x="5629275" y="9860005"/>
          <a:ext cx="1284631" cy="239169"/>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暗号化ファイル取得</a:t>
          </a:r>
        </a:p>
      </xdr:txBody>
    </xdr:sp>
    <xdr:clientData/>
  </xdr:twoCellAnchor>
  <xdr:twoCellAnchor>
    <xdr:from>
      <xdr:col>19</xdr:col>
      <xdr:colOff>8283</xdr:colOff>
      <xdr:row>70</xdr:row>
      <xdr:rowOff>1520</xdr:rowOff>
    </xdr:from>
    <xdr:to>
      <xdr:col>24</xdr:col>
      <xdr:colOff>256762</xdr:colOff>
      <xdr:row>70</xdr:row>
      <xdr:rowOff>1520</xdr:rowOff>
    </xdr:to>
    <xdr:cxnSp macro="">
      <xdr:nvCxnSpPr>
        <xdr:cNvPr id="84" name="直線矢印コネクタ 83">
          <a:extLst>
            <a:ext uri="{FF2B5EF4-FFF2-40B4-BE49-F238E27FC236}">
              <a16:creationId xmlns:a16="http://schemas.microsoft.com/office/drawing/2014/main" id="{B861DFA9-4C75-5C55-F538-428784684FAE}"/>
            </a:ext>
          </a:extLst>
        </xdr:cNvPr>
        <xdr:cNvCxnSpPr/>
      </xdr:nvCxnSpPr>
      <xdr:spPr>
        <a:xfrm flipH="1">
          <a:off x="5256558" y="10117070"/>
          <a:ext cx="162960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256762</xdr:colOff>
      <xdr:row>67</xdr:row>
      <xdr:rowOff>21927</xdr:rowOff>
    </xdr:from>
    <xdr:to>
      <xdr:col>25</xdr:col>
      <xdr:colOff>82826</xdr:colOff>
      <xdr:row>74</xdr:row>
      <xdr:rowOff>115129</xdr:rowOff>
    </xdr:to>
    <xdr:sp macro="" textlink="">
      <xdr:nvSpPr>
        <xdr:cNvPr id="108" name="正方形/長方形 107">
          <a:extLst>
            <a:ext uri="{FF2B5EF4-FFF2-40B4-BE49-F238E27FC236}">
              <a16:creationId xmlns:a16="http://schemas.microsoft.com/office/drawing/2014/main" id="{6B612A05-E1EB-2E45-0D19-55DAB13C6B7F}"/>
            </a:ext>
          </a:extLst>
        </xdr:cNvPr>
        <xdr:cNvSpPr/>
      </xdr:nvSpPr>
      <xdr:spPr>
        <a:xfrm>
          <a:off x="6886162" y="9708852"/>
          <a:ext cx="102289" cy="1093327"/>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168967</xdr:colOff>
      <xdr:row>36</xdr:row>
      <xdr:rowOff>102697</xdr:rowOff>
    </xdr:from>
    <xdr:to>
      <xdr:col>13</xdr:col>
      <xdr:colOff>19879</xdr:colOff>
      <xdr:row>41</xdr:row>
      <xdr:rowOff>19872</xdr:rowOff>
    </xdr:to>
    <xdr:sp macro="" textlink="">
      <xdr:nvSpPr>
        <xdr:cNvPr id="132" name="正方形/長方形 131">
          <a:extLst>
            <a:ext uri="{FF2B5EF4-FFF2-40B4-BE49-F238E27FC236}">
              <a16:creationId xmlns:a16="http://schemas.microsoft.com/office/drawing/2014/main" id="{B3F921A5-DAC7-44D5-B7D5-04F94331051D}"/>
            </a:ext>
          </a:extLst>
        </xdr:cNvPr>
        <xdr:cNvSpPr/>
      </xdr:nvSpPr>
      <xdr:spPr>
        <a:xfrm>
          <a:off x="3448880" y="5436697"/>
          <a:ext cx="124238" cy="621197"/>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18</xdr:col>
      <xdr:colOff>238126</xdr:colOff>
      <xdr:row>58</xdr:row>
      <xdr:rowOff>9525</xdr:rowOff>
    </xdr:from>
    <xdr:to>
      <xdr:col>21</xdr:col>
      <xdr:colOff>252621</xdr:colOff>
      <xdr:row>60</xdr:row>
      <xdr:rowOff>21322</xdr:rowOff>
    </xdr:to>
    <xdr:sp macro="" textlink="">
      <xdr:nvSpPr>
        <xdr:cNvPr id="15" name="正方形/長方形 14">
          <a:extLst>
            <a:ext uri="{FF2B5EF4-FFF2-40B4-BE49-F238E27FC236}">
              <a16:creationId xmlns:a16="http://schemas.microsoft.com/office/drawing/2014/main" id="{296A7C40-6121-1217-7183-4CEEE50189E3}"/>
            </a:ext>
          </a:extLst>
        </xdr:cNvPr>
        <xdr:cNvSpPr/>
      </xdr:nvSpPr>
      <xdr:spPr>
        <a:xfrm>
          <a:off x="5210176" y="8410575"/>
          <a:ext cx="843170" cy="297547"/>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ファイル取得</a:t>
          </a:r>
        </a:p>
      </xdr:txBody>
    </xdr:sp>
    <xdr:clientData/>
  </xdr:twoCellAnchor>
  <xdr:twoCellAnchor>
    <xdr:from>
      <xdr:col>22</xdr:col>
      <xdr:colOff>9525</xdr:colOff>
      <xdr:row>61</xdr:row>
      <xdr:rowOff>66675</xdr:rowOff>
    </xdr:from>
    <xdr:to>
      <xdr:col>23</xdr:col>
      <xdr:colOff>76200</xdr:colOff>
      <xdr:row>61</xdr:row>
      <xdr:rowOff>66675</xdr:rowOff>
    </xdr:to>
    <xdr:cxnSp macro="">
      <xdr:nvCxnSpPr>
        <xdr:cNvPr id="23" name="直線コネクタ 22">
          <a:extLst>
            <a:ext uri="{FF2B5EF4-FFF2-40B4-BE49-F238E27FC236}">
              <a16:creationId xmlns:a16="http://schemas.microsoft.com/office/drawing/2014/main" id="{1E7B6C60-BE16-8F4D-E066-3A3C405BADA9}"/>
            </a:ext>
          </a:extLst>
        </xdr:cNvPr>
        <xdr:cNvCxnSpPr/>
      </xdr:nvCxnSpPr>
      <xdr:spPr>
        <a:xfrm>
          <a:off x="6086475" y="8896350"/>
          <a:ext cx="3429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85725</xdr:colOff>
      <xdr:row>61</xdr:row>
      <xdr:rowOff>57150</xdr:rowOff>
    </xdr:from>
    <xdr:to>
      <xdr:col>23</xdr:col>
      <xdr:colOff>85725</xdr:colOff>
      <xdr:row>63</xdr:row>
      <xdr:rowOff>76200</xdr:rowOff>
    </xdr:to>
    <xdr:cxnSp macro="">
      <xdr:nvCxnSpPr>
        <xdr:cNvPr id="25" name="直線コネクタ 24">
          <a:extLst>
            <a:ext uri="{FF2B5EF4-FFF2-40B4-BE49-F238E27FC236}">
              <a16:creationId xmlns:a16="http://schemas.microsoft.com/office/drawing/2014/main" id="{CA6F181C-7C67-566A-2C33-EC36E0D92159}"/>
            </a:ext>
          </a:extLst>
        </xdr:cNvPr>
        <xdr:cNvCxnSpPr/>
      </xdr:nvCxnSpPr>
      <xdr:spPr>
        <a:xfrm>
          <a:off x="6438900" y="8886825"/>
          <a:ext cx="0" cy="3048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0</xdr:colOff>
      <xdr:row>63</xdr:row>
      <xdr:rowOff>80631</xdr:rowOff>
    </xdr:from>
    <xdr:to>
      <xdr:col>23</xdr:col>
      <xdr:colOff>86967</xdr:colOff>
      <xdr:row>63</xdr:row>
      <xdr:rowOff>80631</xdr:rowOff>
    </xdr:to>
    <xdr:cxnSp macro="">
      <xdr:nvCxnSpPr>
        <xdr:cNvPr id="34" name="直線矢印コネクタ 33">
          <a:extLst>
            <a:ext uri="{FF2B5EF4-FFF2-40B4-BE49-F238E27FC236}">
              <a16:creationId xmlns:a16="http://schemas.microsoft.com/office/drawing/2014/main" id="{3E650479-85FC-B3FD-FD90-D6CCBCB961C1}"/>
            </a:ext>
          </a:extLst>
        </xdr:cNvPr>
        <xdr:cNvCxnSpPr/>
      </xdr:nvCxnSpPr>
      <xdr:spPr>
        <a:xfrm flipH="1">
          <a:off x="6076950" y="9196056"/>
          <a:ext cx="363192"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xdr:colOff>
      <xdr:row>59</xdr:row>
      <xdr:rowOff>57150</xdr:rowOff>
    </xdr:from>
    <xdr:to>
      <xdr:col>25</xdr:col>
      <xdr:colOff>190500</xdr:colOff>
      <xdr:row>61</xdr:row>
      <xdr:rowOff>78472</xdr:rowOff>
    </xdr:to>
    <xdr:sp macro="" textlink="">
      <xdr:nvSpPr>
        <xdr:cNvPr id="37" name="正方形/長方形 36">
          <a:extLst>
            <a:ext uri="{FF2B5EF4-FFF2-40B4-BE49-F238E27FC236}">
              <a16:creationId xmlns:a16="http://schemas.microsoft.com/office/drawing/2014/main" id="{AD1C5077-4AEA-9B67-301D-432529C3FF9D}"/>
            </a:ext>
          </a:extLst>
        </xdr:cNvPr>
        <xdr:cNvSpPr/>
      </xdr:nvSpPr>
      <xdr:spPr>
        <a:xfrm>
          <a:off x="6076951" y="8601075"/>
          <a:ext cx="1019174" cy="307072"/>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ファイル暗号化</a:t>
          </a:r>
        </a:p>
      </xdr:txBody>
    </xdr:sp>
    <xdr:clientData/>
  </xdr:twoCellAnchor>
  <xdr:twoCellAnchor>
    <xdr:from>
      <xdr:col>17</xdr:col>
      <xdr:colOff>28576</xdr:colOff>
      <xdr:row>62</xdr:row>
      <xdr:rowOff>95250</xdr:rowOff>
    </xdr:from>
    <xdr:to>
      <xdr:col>21</xdr:col>
      <xdr:colOff>252622</xdr:colOff>
      <xdr:row>64</xdr:row>
      <xdr:rowOff>97522</xdr:rowOff>
    </xdr:to>
    <xdr:sp macro="" textlink="">
      <xdr:nvSpPr>
        <xdr:cNvPr id="44" name="正方形/長方形 43">
          <a:extLst>
            <a:ext uri="{FF2B5EF4-FFF2-40B4-BE49-F238E27FC236}">
              <a16:creationId xmlns:a16="http://schemas.microsoft.com/office/drawing/2014/main" id="{D317B687-D489-3F30-7934-4E025341B01E}"/>
            </a:ext>
          </a:extLst>
        </xdr:cNvPr>
        <xdr:cNvSpPr/>
      </xdr:nvSpPr>
      <xdr:spPr>
        <a:xfrm>
          <a:off x="4724401" y="9067800"/>
          <a:ext cx="1328946" cy="288022"/>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暗号化ファイル登録</a:t>
          </a:r>
        </a:p>
      </xdr:txBody>
    </xdr:sp>
    <xdr:clientData/>
  </xdr:twoCellAnchor>
  <xdr:twoCellAnchor>
    <xdr:from>
      <xdr:col>4</xdr:col>
      <xdr:colOff>247650</xdr:colOff>
      <xdr:row>120</xdr:row>
      <xdr:rowOff>95250</xdr:rowOff>
    </xdr:from>
    <xdr:to>
      <xdr:col>31</xdr:col>
      <xdr:colOff>95250</xdr:colOff>
      <xdr:row>125</xdr:row>
      <xdr:rowOff>38100</xdr:rowOff>
    </xdr:to>
    <xdr:sp macro="" textlink="">
      <xdr:nvSpPr>
        <xdr:cNvPr id="27" name="吹き出し: 四角形 26">
          <a:extLst>
            <a:ext uri="{FF2B5EF4-FFF2-40B4-BE49-F238E27FC236}">
              <a16:creationId xmlns:a16="http://schemas.microsoft.com/office/drawing/2014/main" id="{1EC876BC-3007-4811-B945-AF10158CA5CA}"/>
            </a:ext>
          </a:extLst>
        </xdr:cNvPr>
        <xdr:cNvSpPr/>
      </xdr:nvSpPr>
      <xdr:spPr bwMode="auto">
        <a:xfrm>
          <a:off x="1352550" y="17354550"/>
          <a:ext cx="7305675" cy="657225"/>
        </a:xfrm>
        <a:prstGeom prst="wedgeRectCallout">
          <a:avLst>
            <a:gd name="adj1" fmla="val -19929"/>
            <a:gd name="adj2" fmla="val -73152"/>
          </a:avLst>
        </a:prstGeom>
        <a:ln>
          <a:headEnd/>
          <a:tailEnd type="triangle" w="med" len="med"/>
        </a:ln>
      </xdr:spPr>
      <xdr:style>
        <a:lnRef idx="1">
          <a:schemeClr val="accent2"/>
        </a:lnRef>
        <a:fillRef idx="2">
          <a:schemeClr val="accent2"/>
        </a:fillRef>
        <a:effectRef idx="1">
          <a:schemeClr val="accent2"/>
        </a:effectRef>
        <a:fontRef idx="minor">
          <a:schemeClr val="dk1"/>
        </a:fontRef>
      </xdr:style>
      <xdr:txBody>
        <a:bodyPr rtlCol="0" anchor="ctr"/>
        <a:lstStyle/>
        <a:p>
          <a:pPr algn="l"/>
          <a:r>
            <a:rPr lang="ja-JP" altLang="en-US" sz="1000" b="0" i="0">
              <a:solidFill>
                <a:schemeClr val="dk1"/>
              </a:solidFill>
              <a:effectLst/>
              <a:latin typeface="+mn-lt"/>
              <a:ea typeface="+mn-ea"/>
              <a:cs typeface="+mn-cs"/>
            </a:rPr>
            <a:t>本サンプルでの</a:t>
          </a:r>
          <a:r>
            <a:rPr lang="en-US" altLang="ja-JP" sz="1000" b="0" i="0">
              <a:solidFill>
                <a:schemeClr val="dk1"/>
              </a:solidFill>
              <a:effectLst/>
              <a:latin typeface="+mn-lt"/>
              <a:ea typeface="+mn-ea"/>
              <a:cs typeface="+mn-cs"/>
            </a:rPr>
            <a:t>Lambda</a:t>
          </a:r>
          <a:r>
            <a:rPr lang="ja-JP" altLang="en-US" sz="1000" b="0" i="0">
              <a:solidFill>
                <a:schemeClr val="dk1"/>
              </a:solidFill>
              <a:effectLst/>
              <a:latin typeface="+mn-lt"/>
              <a:ea typeface="+mn-ea"/>
              <a:cs typeface="+mn-cs"/>
            </a:rPr>
            <a:t>の利用はバッチアプリケーションのみであり、起動時間が大きな課題となることもないため使用言語を統一する目的で</a:t>
          </a:r>
          <a:r>
            <a:rPr lang="en-US" altLang="ja-JP" sz="1000" b="0" i="0">
              <a:solidFill>
                <a:schemeClr val="dk1"/>
              </a:solidFill>
              <a:effectLst/>
              <a:latin typeface="+mn-lt"/>
              <a:ea typeface="+mn-ea"/>
              <a:cs typeface="+mn-cs"/>
            </a:rPr>
            <a:t>Java</a:t>
          </a:r>
          <a:r>
            <a:rPr lang="ja-JP" altLang="en-US" sz="1000" b="0" i="0">
              <a:solidFill>
                <a:schemeClr val="dk1"/>
              </a:solidFill>
              <a:effectLst/>
              <a:latin typeface="+mn-lt"/>
              <a:ea typeface="+mn-ea"/>
              <a:cs typeface="+mn-cs"/>
            </a:rPr>
            <a:t>を選択した。 実際のプロジェクトではシステムの要件や要員構成に合わせて適切な言語を選択すること。</a:t>
          </a:r>
          <a:endParaRPr kumimoji="1" lang="ja-JP" altLang="en-US" sz="10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605"/>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50"/>
      <c r="F1" s="51"/>
      <c r="G1" s="51"/>
      <c r="H1" s="51"/>
      <c r="I1" s="51"/>
      <c r="J1" s="51"/>
      <c r="K1" s="51"/>
      <c r="L1" s="51"/>
      <c r="M1" s="51"/>
      <c r="N1" s="51"/>
      <c r="O1" s="52"/>
      <c r="P1" s="1" t="s">
        <v>1</v>
      </c>
      <c r="Q1" s="2"/>
      <c r="R1" s="53" t="s">
        <v>2</v>
      </c>
      <c r="S1" s="54"/>
      <c r="T1" s="54"/>
      <c r="U1" s="54"/>
      <c r="V1" s="54"/>
      <c r="W1" s="54"/>
      <c r="X1" s="55"/>
      <c r="Y1" s="1" t="s">
        <v>3</v>
      </c>
      <c r="Z1" s="3"/>
      <c r="AA1" s="56"/>
      <c r="AB1" s="57"/>
      <c r="AC1" s="57"/>
      <c r="AD1" s="57"/>
      <c r="AE1" s="58"/>
      <c r="AF1" s="47"/>
      <c r="AG1" s="48"/>
      <c r="AH1" s="48"/>
      <c r="AI1" s="49"/>
    </row>
    <row r="2" spans="1:35" ht="14.25" customHeight="1" x14ac:dyDescent="0.15">
      <c r="A2" s="5" t="s">
        <v>4</v>
      </c>
      <c r="B2" s="6"/>
      <c r="C2" s="6"/>
      <c r="D2" s="7"/>
      <c r="E2" s="50"/>
      <c r="F2" s="51"/>
      <c r="G2" s="51"/>
      <c r="H2" s="51"/>
      <c r="I2" s="51"/>
      <c r="J2" s="51"/>
      <c r="K2" s="51"/>
      <c r="L2" s="51"/>
      <c r="M2" s="51"/>
      <c r="N2" s="51"/>
      <c r="O2" s="52"/>
      <c r="P2" s="8" t="s">
        <v>5</v>
      </c>
      <c r="Q2" s="9"/>
      <c r="R2" s="59" t="s">
        <v>6</v>
      </c>
      <c r="S2" s="60"/>
      <c r="T2" s="60"/>
      <c r="U2" s="60"/>
      <c r="V2" s="60"/>
      <c r="W2" s="60"/>
      <c r="X2" s="61"/>
      <c r="Y2" s="1" t="s">
        <v>7</v>
      </c>
      <c r="Z2" s="3"/>
      <c r="AA2" s="56"/>
      <c r="AB2" s="57"/>
      <c r="AC2" s="57"/>
      <c r="AD2" s="57"/>
      <c r="AE2" s="58"/>
      <c r="AF2" s="47"/>
      <c r="AG2" s="48"/>
      <c r="AH2" s="48"/>
      <c r="AI2" s="49"/>
    </row>
    <row r="3" spans="1:35" ht="14.25" customHeight="1" x14ac:dyDescent="0.15">
      <c r="A3" s="1" t="s">
        <v>8</v>
      </c>
      <c r="B3" s="10"/>
      <c r="C3" s="11"/>
      <c r="D3" s="3"/>
      <c r="E3" s="65"/>
      <c r="F3" s="65"/>
      <c r="G3" s="65"/>
      <c r="H3" s="65"/>
      <c r="I3" s="65"/>
      <c r="J3" s="65"/>
      <c r="K3" s="65"/>
      <c r="L3" s="65"/>
      <c r="M3" s="65"/>
      <c r="N3" s="65"/>
      <c r="O3" s="65"/>
      <c r="P3" s="12"/>
      <c r="Q3" s="13"/>
      <c r="R3" s="62"/>
      <c r="S3" s="63"/>
      <c r="T3" s="63"/>
      <c r="U3" s="63"/>
      <c r="V3" s="63"/>
      <c r="W3" s="63"/>
      <c r="X3" s="64"/>
      <c r="Y3" s="12" t="s">
        <v>9</v>
      </c>
      <c r="Z3" s="14"/>
      <c r="AA3" s="56"/>
      <c r="AB3" s="57"/>
      <c r="AC3" s="57"/>
      <c r="AD3" s="57"/>
      <c r="AE3" s="58"/>
      <c r="AF3" s="47"/>
      <c r="AG3" s="48"/>
      <c r="AH3" s="48"/>
      <c r="AI3" s="49"/>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$B$5&amp;"2."</f>
        <v>6.2.</v>
      </c>
      <c r="D7" s="4" t="s">
        <v>12</v>
      </c>
    </row>
    <row r="8" spans="1:35" ht="11.25" customHeight="1" x14ac:dyDescent="0.15">
      <c r="C8" s="15"/>
    </row>
    <row r="9" spans="1:35" ht="11.25" customHeight="1" x14ac:dyDescent="0.15">
      <c r="D9" s="15" t="str">
        <f>$C$7&amp;"1."</f>
        <v>6.2.1.</v>
      </c>
      <c r="E9" s="4" t="s">
        <v>13</v>
      </c>
    </row>
    <row r="10" spans="1:35" ht="11.25" customHeight="1" x14ac:dyDescent="0.15">
      <c r="D10" s="15"/>
      <c r="E10" s="15" t="str">
        <f>$D$9&amp;"1."</f>
        <v>6.2.1.1.</v>
      </c>
      <c r="F10" s="4" t="str">
        <f>D7&amp;"方式概要"</f>
        <v>ファイル転送（配信）方式概要</v>
      </c>
    </row>
    <row r="11" spans="1:35" s="16" customFormat="1" ht="11.25" x14ac:dyDescent="0.15">
      <c r="F11" s="16" t="s">
        <v>14</v>
      </c>
    </row>
    <row r="12" spans="1:35" s="16" customFormat="1" ht="11.25" x14ac:dyDescent="0.15">
      <c r="F12" s="16" t="s">
        <v>15</v>
      </c>
    </row>
    <row r="13" spans="1:35" ht="11.25" customHeight="1" x14ac:dyDescent="0.15"/>
    <row r="14" spans="1:35" ht="11.25" customHeight="1" x14ac:dyDescent="0.15">
      <c r="E14" s="15" t="str">
        <f>$D$9&amp;"2."</f>
        <v>6.2.1.2.</v>
      </c>
      <c r="F14" s="4" t="str">
        <f>D7&amp;"方法"</f>
        <v>ファイル転送（配信）方法</v>
      </c>
    </row>
    <row r="15" spans="1:35" ht="11.25" customHeight="1" x14ac:dyDescent="0.15">
      <c r="F15" s="4" t="s">
        <v>16</v>
      </c>
    </row>
    <row r="16" spans="1:35" ht="11.25" customHeight="1" x14ac:dyDescent="0.15"/>
    <row r="17" spans="4:34" ht="11.25" customHeight="1" x14ac:dyDescent="0.15">
      <c r="F17" s="44" t="s">
        <v>17</v>
      </c>
      <c r="G17" s="45"/>
      <c r="H17" s="45"/>
      <c r="I17" s="46"/>
      <c r="J17" s="45" t="s">
        <v>18</v>
      </c>
      <c r="K17" s="45"/>
      <c r="L17" s="45"/>
      <c r="M17" s="45"/>
      <c r="N17" s="45"/>
      <c r="O17" s="45"/>
      <c r="P17" s="45"/>
      <c r="Q17" s="45"/>
      <c r="R17" s="45"/>
      <c r="S17" s="45"/>
      <c r="T17" s="45"/>
      <c r="U17" s="45"/>
      <c r="V17" s="45"/>
      <c r="W17" s="45"/>
      <c r="X17" s="45"/>
      <c r="Y17" s="45"/>
      <c r="Z17" s="45"/>
      <c r="AA17" s="45"/>
      <c r="AB17" s="45"/>
      <c r="AC17" s="45"/>
      <c r="AD17" s="45"/>
      <c r="AE17" s="45"/>
      <c r="AF17" s="45"/>
      <c r="AG17" s="45"/>
      <c r="AH17" s="46"/>
    </row>
    <row r="18" spans="4:34" ht="11.25" customHeight="1" x14ac:dyDescent="0.15">
      <c r="F18" s="18" t="s">
        <v>19</v>
      </c>
      <c r="G18" s="19"/>
      <c r="H18" s="19"/>
      <c r="I18" s="19"/>
      <c r="J18" s="18" t="s">
        <v>20</v>
      </c>
      <c r="K18" s="19"/>
      <c r="L18" s="19"/>
      <c r="M18" s="19"/>
      <c r="N18" s="19"/>
      <c r="O18" s="19"/>
      <c r="P18" s="19"/>
      <c r="Q18" s="19"/>
      <c r="R18" s="19"/>
      <c r="S18" s="19"/>
      <c r="T18" s="19"/>
      <c r="U18" s="19"/>
      <c r="V18" s="19"/>
      <c r="W18" s="19"/>
      <c r="X18" s="19"/>
      <c r="Y18" s="19"/>
      <c r="Z18" s="19"/>
      <c r="AA18" s="19"/>
      <c r="AB18" s="19"/>
      <c r="AC18" s="19"/>
      <c r="AD18" s="19"/>
      <c r="AE18" s="19"/>
      <c r="AF18" s="19"/>
      <c r="AG18" s="19"/>
      <c r="AH18" s="20"/>
    </row>
    <row r="19" spans="4:34" ht="11.25" customHeight="1" x14ac:dyDescent="0.15">
      <c r="F19" s="21"/>
      <c r="G19" s="22"/>
      <c r="H19" s="22"/>
      <c r="I19" s="22"/>
      <c r="J19" s="21" t="s">
        <v>21</v>
      </c>
      <c r="K19" s="22"/>
      <c r="L19" s="22"/>
      <c r="M19" s="22"/>
      <c r="N19" s="22"/>
      <c r="O19" s="22"/>
      <c r="P19" s="22"/>
      <c r="Q19" s="22"/>
      <c r="R19" s="22"/>
      <c r="S19" s="22"/>
      <c r="T19" s="22"/>
      <c r="U19" s="22"/>
      <c r="V19" s="22"/>
      <c r="W19" s="22"/>
      <c r="X19" s="22"/>
      <c r="Y19" s="22"/>
      <c r="Z19" s="22"/>
      <c r="AA19" s="22"/>
      <c r="AB19" s="22"/>
      <c r="AC19" s="22"/>
      <c r="AD19" s="22"/>
      <c r="AE19" s="22"/>
      <c r="AF19" s="22"/>
      <c r="AG19" s="22"/>
      <c r="AH19" s="23"/>
    </row>
    <row r="20" spans="4:34" s="16" customFormat="1" ht="11.25" customHeight="1" x14ac:dyDescent="0.15">
      <c r="D20" s="17"/>
      <c r="E20" s="24"/>
    </row>
    <row r="21" spans="4:34" ht="11.25" customHeight="1" x14ac:dyDescent="0.15">
      <c r="E21" s="15" t="str">
        <f>$D$9&amp;"3."</f>
        <v>6.2.1.3.</v>
      </c>
      <c r="F21" s="4" t="s">
        <v>22</v>
      </c>
    </row>
    <row r="22" spans="4:34" ht="11.25" customHeight="1" x14ac:dyDescent="0.15">
      <c r="E22" s="15"/>
      <c r="F22" s="16" t="s">
        <v>23</v>
      </c>
    </row>
    <row r="23" spans="4:34" ht="11.25" customHeight="1" x14ac:dyDescent="0.15">
      <c r="E23" s="15"/>
      <c r="F23" s="4" t="s">
        <v>24</v>
      </c>
    </row>
    <row r="24" spans="4:34" ht="11.25" customHeight="1" x14ac:dyDescent="0.15">
      <c r="E24" s="15"/>
    </row>
    <row r="25" spans="4:34" ht="11.25" customHeight="1" x14ac:dyDescent="0.15">
      <c r="D25" s="15" t="str">
        <f>$C$7&amp;"2."</f>
        <v>6.2.2.</v>
      </c>
      <c r="E25" s="16" t="s">
        <v>25</v>
      </c>
    </row>
    <row r="26" spans="4:34" ht="11.25" customHeight="1" x14ac:dyDescent="0.15">
      <c r="E26" s="15"/>
      <c r="F26" s="4" t="s">
        <v>26</v>
      </c>
    </row>
    <row r="27" spans="4:34" ht="11.25" customHeight="1" x14ac:dyDescent="0.15">
      <c r="E27" s="15"/>
    </row>
    <row r="28" spans="4:34" ht="11.25" customHeight="1" x14ac:dyDescent="0.15">
      <c r="E28" s="15"/>
    </row>
    <row r="29" spans="4:34" ht="11.25" customHeight="1" x14ac:dyDescent="0.15">
      <c r="E29" s="15"/>
    </row>
    <row r="30" spans="4:34" ht="11.25" customHeight="1" x14ac:dyDescent="0.15">
      <c r="E30" s="15"/>
    </row>
    <row r="31" spans="4:34" ht="11.25" customHeight="1" x14ac:dyDescent="0.15">
      <c r="E31" s="15"/>
    </row>
    <row r="32" spans="4:34" ht="11.25" customHeight="1" x14ac:dyDescent="0.15">
      <c r="E32" s="15"/>
    </row>
    <row r="33" spans="5:5" ht="11.25" customHeight="1" x14ac:dyDescent="0.15">
      <c r="E33" s="15"/>
    </row>
    <row r="34" spans="5:5" ht="11.25" customHeight="1" x14ac:dyDescent="0.15">
      <c r="E34" s="15"/>
    </row>
    <row r="35" spans="5:5" ht="11.25" customHeight="1" x14ac:dyDescent="0.15">
      <c r="E35" s="15"/>
    </row>
    <row r="36" spans="5:5" ht="11.25" customHeight="1" x14ac:dyDescent="0.15">
      <c r="E36" s="15"/>
    </row>
    <row r="37" spans="5:5" ht="11.25" customHeight="1" x14ac:dyDescent="0.15">
      <c r="E37" s="15"/>
    </row>
    <row r="38" spans="5:5" ht="11.25" customHeight="1" x14ac:dyDescent="0.15">
      <c r="E38" s="15"/>
    </row>
    <row r="39" spans="5:5" ht="11.25" customHeight="1" x14ac:dyDescent="0.15">
      <c r="E39" s="15"/>
    </row>
    <row r="40" spans="5:5" ht="11.25" customHeight="1" x14ac:dyDescent="0.15">
      <c r="E40" s="15"/>
    </row>
    <row r="41" spans="5:5" ht="11.25" customHeight="1" x14ac:dyDescent="0.15">
      <c r="E41" s="15"/>
    </row>
    <row r="42" spans="5:5" ht="11.25" customHeight="1" x14ac:dyDescent="0.15">
      <c r="E42" s="15"/>
    </row>
    <row r="43" spans="5:5" ht="11.25" customHeight="1" x14ac:dyDescent="0.15">
      <c r="E43" s="15"/>
    </row>
    <row r="44" spans="5:5" ht="11.25" customHeight="1" x14ac:dyDescent="0.15">
      <c r="E44" s="15"/>
    </row>
    <row r="45" spans="5:5" ht="11.25" customHeight="1" x14ac:dyDescent="0.15">
      <c r="E45" s="15"/>
    </row>
    <row r="46" spans="5:5" ht="11.25" customHeight="1" x14ac:dyDescent="0.15">
      <c r="E46" s="15"/>
    </row>
    <row r="47" spans="5:5" ht="11.25" customHeight="1" x14ac:dyDescent="0.15">
      <c r="E47" s="15"/>
    </row>
    <row r="48" spans="5:5" ht="11.25" customHeight="1" x14ac:dyDescent="0.15">
      <c r="E48" s="15"/>
    </row>
    <row r="49" spans="5:5" ht="11.25" customHeight="1" x14ac:dyDescent="0.15">
      <c r="E49" s="15"/>
    </row>
    <row r="50" spans="5:5" ht="11.25" customHeight="1" x14ac:dyDescent="0.15">
      <c r="E50" s="15"/>
    </row>
    <row r="51" spans="5:5" ht="11.25" customHeight="1" x14ac:dyDescent="0.15">
      <c r="E51" s="15"/>
    </row>
    <row r="52" spans="5:5" ht="11.25" customHeight="1" x14ac:dyDescent="0.15">
      <c r="E52" s="15"/>
    </row>
    <row r="53" spans="5:5" ht="11.25" customHeight="1" x14ac:dyDescent="0.15">
      <c r="E53" s="15"/>
    </row>
    <row r="54" spans="5:5" ht="11.25" customHeight="1" x14ac:dyDescent="0.15">
      <c r="E54" s="15"/>
    </row>
    <row r="55" spans="5:5" ht="11.25" customHeight="1" x14ac:dyDescent="0.15">
      <c r="E55" s="15"/>
    </row>
    <row r="56" spans="5:5" ht="11.25" customHeight="1" x14ac:dyDescent="0.15">
      <c r="E56" s="15"/>
    </row>
    <row r="57" spans="5:5" ht="11.25" customHeight="1" x14ac:dyDescent="0.15">
      <c r="E57" s="15"/>
    </row>
    <row r="58" spans="5:5" ht="11.25" customHeight="1" x14ac:dyDescent="0.15">
      <c r="E58" s="15"/>
    </row>
    <row r="59" spans="5:5" ht="11.25" customHeight="1" x14ac:dyDescent="0.15">
      <c r="E59" s="15"/>
    </row>
    <row r="60" spans="5:5" ht="11.25" customHeight="1" x14ac:dyDescent="0.15">
      <c r="E60" s="15"/>
    </row>
    <row r="61" spans="5:5" ht="11.25" customHeight="1" x14ac:dyDescent="0.15">
      <c r="E61" s="15"/>
    </row>
    <row r="62" spans="5:5" ht="11.25" customHeight="1" x14ac:dyDescent="0.15">
      <c r="E62" s="15"/>
    </row>
    <row r="63" spans="5:5" ht="11.25" customHeight="1" x14ac:dyDescent="0.15">
      <c r="E63" s="15"/>
    </row>
    <row r="64" spans="5:5" ht="11.25" customHeight="1" x14ac:dyDescent="0.15">
      <c r="E64" s="15"/>
    </row>
    <row r="65" spans="5:6" ht="11.25" customHeight="1" x14ac:dyDescent="0.15">
      <c r="E65" s="15"/>
    </row>
    <row r="66" spans="5:6" ht="11.25" customHeight="1" x14ac:dyDescent="0.15">
      <c r="E66" s="15"/>
    </row>
    <row r="67" spans="5:6" ht="11.25" customHeight="1" x14ac:dyDescent="0.15">
      <c r="E67" s="15"/>
    </row>
    <row r="68" spans="5:6" ht="11.25" customHeight="1" x14ac:dyDescent="0.15">
      <c r="E68" s="15"/>
    </row>
    <row r="69" spans="5:6" ht="11.25" customHeight="1" x14ac:dyDescent="0.15">
      <c r="E69" s="15"/>
    </row>
    <row r="70" spans="5:6" ht="11.25" customHeight="1" x14ac:dyDescent="0.15">
      <c r="E70" s="15"/>
    </row>
    <row r="71" spans="5:6" ht="11.25" customHeight="1" x14ac:dyDescent="0.15">
      <c r="E71" s="15"/>
    </row>
    <row r="72" spans="5:6" ht="11.25" customHeight="1" x14ac:dyDescent="0.15">
      <c r="E72" s="15"/>
    </row>
    <row r="73" spans="5:6" ht="11.25" customHeight="1" x14ac:dyDescent="0.15">
      <c r="E73" s="15"/>
    </row>
    <row r="74" spans="5:6" ht="11.25" customHeight="1" x14ac:dyDescent="0.15">
      <c r="E74" s="15"/>
    </row>
    <row r="75" spans="5:6" ht="11.25" customHeight="1" x14ac:dyDescent="0.15">
      <c r="E75" s="15"/>
    </row>
    <row r="76" spans="5:6" ht="11.25" customHeight="1" x14ac:dyDescent="0.15">
      <c r="E76" s="15"/>
    </row>
    <row r="77" spans="5:6" ht="11.25" customHeight="1" x14ac:dyDescent="0.15">
      <c r="E77" s="15"/>
    </row>
    <row r="78" spans="5:6" ht="11.25" customHeight="1" x14ac:dyDescent="0.15">
      <c r="E78" s="15"/>
    </row>
    <row r="79" spans="5:6" ht="11.25" customHeight="1" x14ac:dyDescent="0.15">
      <c r="E79" s="15"/>
    </row>
    <row r="80" spans="5:6" ht="11.25" customHeight="1" x14ac:dyDescent="0.15">
      <c r="E80" s="15"/>
      <c r="F80" s="4" t="s">
        <v>27</v>
      </c>
    </row>
    <row r="81" spans="5:34" ht="11.25" customHeight="1" x14ac:dyDescent="0.15">
      <c r="E81" s="15"/>
    </row>
    <row r="82" spans="5:34" s="16" customFormat="1" ht="11.25" x14ac:dyDescent="0.15">
      <c r="F82" s="36" t="s">
        <v>28</v>
      </c>
      <c r="G82" s="37"/>
      <c r="H82" s="37"/>
      <c r="I82" s="37"/>
      <c r="J82" s="38"/>
      <c r="K82" s="36" t="s">
        <v>29</v>
      </c>
      <c r="L82" s="37"/>
      <c r="M82" s="37"/>
      <c r="N82" s="37"/>
      <c r="O82" s="37"/>
      <c r="P82" s="37"/>
      <c r="Q82" s="37"/>
      <c r="R82" s="37"/>
      <c r="S82" s="37"/>
      <c r="T82" s="37"/>
      <c r="U82" s="37"/>
      <c r="V82" s="37"/>
      <c r="W82" s="37"/>
      <c r="X82" s="37"/>
      <c r="Y82" s="37"/>
      <c r="Z82" s="37"/>
      <c r="AA82" s="37"/>
      <c r="AB82" s="37"/>
      <c r="AC82" s="37"/>
      <c r="AD82" s="37"/>
      <c r="AE82" s="37"/>
      <c r="AF82" s="37"/>
      <c r="AG82" s="37"/>
      <c r="AH82" s="38"/>
    </row>
    <row r="83" spans="5:34" s="16" customFormat="1" ht="11.25" x14ac:dyDescent="0.15">
      <c r="F83" s="28" t="s">
        <v>30</v>
      </c>
      <c r="G83" s="29"/>
      <c r="H83" s="29"/>
      <c r="I83" s="29"/>
      <c r="J83" s="30"/>
      <c r="K83" s="28" t="s">
        <v>31</v>
      </c>
      <c r="L83" s="29"/>
      <c r="M83" s="29"/>
      <c r="N83" s="29"/>
      <c r="O83" s="29"/>
      <c r="P83" s="29"/>
      <c r="Q83" s="29"/>
      <c r="R83" s="29"/>
      <c r="S83" s="29"/>
      <c r="T83" s="29"/>
      <c r="U83" s="29"/>
      <c r="V83" s="29"/>
      <c r="W83" s="29"/>
      <c r="X83" s="29"/>
      <c r="Y83" s="29"/>
      <c r="Z83" s="29"/>
      <c r="AA83" s="29"/>
      <c r="AB83" s="29"/>
      <c r="AC83" s="29"/>
      <c r="AD83" s="29"/>
      <c r="AE83" s="29"/>
      <c r="AF83" s="29"/>
      <c r="AG83" s="29"/>
      <c r="AH83" s="30"/>
    </row>
    <row r="84" spans="5:34" s="16" customFormat="1" ht="11.25" x14ac:dyDescent="0.15">
      <c r="F84" s="31"/>
      <c r="J84" s="32"/>
      <c r="K84" s="31" t="s">
        <v>116</v>
      </c>
      <c r="AH84" s="32"/>
    </row>
    <row r="85" spans="5:34" s="16" customFormat="1" ht="11.25" x14ac:dyDescent="0.15">
      <c r="F85" s="31"/>
      <c r="J85" s="32"/>
      <c r="K85" s="31" t="s">
        <v>117</v>
      </c>
      <c r="AH85" s="32"/>
    </row>
    <row r="86" spans="5:34" s="16" customFormat="1" ht="11.25" x14ac:dyDescent="0.15">
      <c r="F86" s="33"/>
      <c r="G86" s="34"/>
      <c r="H86" s="34"/>
      <c r="I86" s="34"/>
      <c r="J86" s="35"/>
      <c r="K86" s="33" t="s">
        <v>32</v>
      </c>
      <c r="L86" s="34"/>
      <c r="M86" s="34"/>
      <c r="N86" s="34"/>
      <c r="O86" s="34"/>
      <c r="P86" s="34"/>
      <c r="Q86" s="34"/>
      <c r="R86" s="34"/>
      <c r="S86" s="34"/>
      <c r="T86" s="34"/>
      <c r="U86" s="34"/>
      <c r="V86" s="34"/>
      <c r="W86" s="34"/>
      <c r="X86" s="34"/>
      <c r="Y86" s="34"/>
      <c r="Z86" s="34"/>
      <c r="AA86" s="34"/>
      <c r="AB86" s="34"/>
      <c r="AC86" s="34"/>
      <c r="AD86" s="34"/>
      <c r="AE86" s="34"/>
      <c r="AF86" s="34"/>
      <c r="AG86" s="34"/>
      <c r="AH86" s="35"/>
    </row>
    <row r="87" spans="5:34" s="16" customFormat="1" ht="11.25" x14ac:dyDescent="0.15">
      <c r="F87" s="25" t="s">
        <v>33</v>
      </c>
      <c r="G87" s="26"/>
      <c r="H87" s="26"/>
      <c r="I87" s="26"/>
      <c r="J87" s="27"/>
      <c r="K87" s="25" t="s">
        <v>34</v>
      </c>
      <c r="L87" s="26"/>
      <c r="M87" s="26"/>
      <c r="N87" s="26"/>
      <c r="O87" s="26"/>
      <c r="P87" s="26"/>
      <c r="Q87" s="26"/>
      <c r="R87" s="26"/>
      <c r="S87" s="26"/>
      <c r="T87" s="26"/>
      <c r="U87" s="26"/>
      <c r="V87" s="26"/>
      <c r="W87" s="26"/>
      <c r="X87" s="26"/>
      <c r="Y87" s="26"/>
      <c r="Z87" s="26"/>
      <c r="AA87" s="26"/>
      <c r="AB87" s="26"/>
      <c r="AC87" s="26"/>
      <c r="AD87" s="26"/>
      <c r="AE87" s="26"/>
      <c r="AF87" s="26"/>
      <c r="AG87" s="26"/>
      <c r="AH87" s="27"/>
    </row>
    <row r="88" spans="5:34" s="16" customFormat="1" ht="11.25" x14ac:dyDescent="0.15">
      <c r="F88" s="28" t="s">
        <v>35</v>
      </c>
      <c r="G88" s="29"/>
      <c r="H88" s="29"/>
      <c r="I88" s="29"/>
      <c r="J88" s="30"/>
      <c r="K88" s="28" t="s">
        <v>36</v>
      </c>
      <c r="L88" s="29"/>
      <c r="M88" s="29"/>
      <c r="N88" s="29"/>
      <c r="O88" s="29"/>
      <c r="P88" s="29"/>
      <c r="Q88" s="29"/>
      <c r="R88" s="29"/>
      <c r="S88" s="29"/>
      <c r="T88" s="29"/>
      <c r="U88" s="29"/>
      <c r="V88" s="29"/>
      <c r="W88" s="29"/>
      <c r="X88" s="29"/>
      <c r="Y88" s="29"/>
      <c r="Z88" s="29"/>
      <c r="AA88" s="29"/>
      <c r="AB88" s="29"/>
      <c r="AC88" s="29"/>
      <c r="AD88" s="29"/>
      <c r="AE88" s="29"/>
      <c r="AF88" s="29"/>
      <c r="AG88" s="29"/>
      <c r="AH88" s="30"/>
    </row>
    <row r="89" spans="5:34" s="16" customFormat="1" ht="11.25" x14ac:dyDescent="0.15">
      <c r="F89" s="31"/>
      <c r="J89" s="32"/>
      <c r="K89" s="31" t="s">
        <v>37</v>
      </c>
      <c r="AH89" s="32"/>
    </row>
    <row r="90" spans="5:34" s="16" customFormat="1" ht="11.25" x14ac:dyDescent="0.15">
      <c r="F90" s="28" t="s">
        <v>38</v>
      </c>
      <c r="G90" s="29"/>
      <c r="H90" s="29"/>
      <c r="I90" s="29"/>
      <c r="J90" s="30"/>
      <c r="K90" s="28" t="s">
        <v>39</v>
      </c>
      <c r="L90" s="29"/>
      <c r="M90" s="29"/>
      <c r="N90" s="29"/>
      <c r="O90" s="29"/>
      <c r="P90" s="29"/>
      <c r="Q90" s="29"/>
      <c r="R90" s="29"/>
      <c r="S90" s="29"/>
      <c r="T90" s="29"/>
      <c r="U90" s="29"/>
      <c r="V90" s="29"/>
      <c r="W90" s="29"/>
      <c r="X90" s="29"/>
      <c r="Y90" s="29"/>
      <c r="Z90" s="29"/>
      <c r="AA90" s="29"/>
      <c r="AB90" s="29"/>
      <c r="AC90" s="29"/>
      <c r="AD90" s="29"/>
      <c r="AE90" s="29"/>
      <c r="AF90" s="29"/>
      <c r="AG90" s="29"/>
      <c r="AH90" s="30"/>
    </row>
    <row r="91" spans="5:34" s="16" customFormat="1" ht="11.25" x14ac:dyDescent="0.15">
      <c r="F91" s="31"/>
      <c r="J91" s="32"/>
      <c r="K91" s="31" t="s">
        <v>40</v>
      </c>
      <c r="AH91" s="32"/>
    </row>
    <row r="92" spans="5:34" s="16" customFormat="1" ht="11.25" x14ac:dyDescent="0.15">
      <c r="F92" s="31"/>
      <c r="J92" s="32"/>
      <c r="K92" s="31" t="s">
        <v>118</v>
      </c>
      <c r="AH92" s="32"/>
    </row>
    <row r="93" spans="5:34" s="16" customFormat="1" ht="11.25" x14ac:dyDescent="0.15">
      <c r="F93" s="31"/>
      <c r="J93" s="32"/>
      <c r="K93" s="31" t="s">
        <v>119</v>
      </c>
      <c r="AH93" s="32"/>
    </row>
    <row r="94" spans="5:34" s="16" customFormat="1" ht="11.25" x14ac:dyDescent="0.15">
      <c r="F94" s="28" t="s">
        <v>41</v>
      </c>
      <c r="G94" s="29"/>
      <c r="H94" s="29"/>
      <c r="I94" s="29"/>
      <c r="J94" s="30"/>
      <c r="K94" s="28" t="s">
        <v>120</v>
      </c>
      <c r="L94" s="29"/>
      <c r="M94" s="29"/>
      <c r="N94" s="29"/>
      <c r="O94" s="29"/>
      <c r="P94" s="29"/>
      <c r="Q94" s="29"/>
      <c r="R94" s="29"/>
      <c r="S94" s="29"/>
      <c r="T94" s="29"/>
      <c r="U94" s="29"/>
      <c r="V94" s="29"/>
      <c r="W94" s="29"/>
      <c r="X94" s="29"/>
      <c r="Y94" s="29"/>
      <c r="Z94" s="29"/>
      <c r="AA94" s="29"/>
      <c r="AB94" s="29"/>
      <c r="AC94" s="29"/>
      <c r="AD94" s="29"/>
      <c r="AE94" s="29"/>
      <c r="AF94" s="29"/>
      <c r="AG94" s="29"/>
      <c r="AH94" s="30"/>
    </row>
    <row r="95" spans="5:34" s="16" customFormat="1" ht="11.25" x14ac:dyDescent="0.15">
      <c r="F95" s="33"/>
      <c r="G95" s="34"/>
      <c r="H95" s="34"/>
      <c r="I95" s="34"/>
      <c r="J95" s="35"/>
      <c r="K95" s="33" t="s">
        <v>121</v>
      </c>
      <c r="L95" s="34"/>
      <c r="M95" s="34"/>
      <c r="N95" s="34"/>
      <c r="O95" s="34"/>
      <c r="P95" s="34"/>
      <c r="Q95" s="34"/>
      <c r="R95" s="34"/>
      <c r="S95" s="34"/>
      <c r="T95" s="34"/>
      <c r="U95" s="34"/>
      <c r="V95" s="34"/>
      <c r="W95" s="34"/>
      <c r="X95" s="34"/>
      <c r="Y95" s="34"/>
      <c r="Z95" s="34"/>
      <c r="AA95" s="34"/>
      <c r="AB95" s="34"/>
      <c r="AC95" s="34"/>
      <c r="AD95" s="34"/>
      <c r="AE95" s="34"/>
      <c r="AF95" s="34"/>
      <c r="AG95" s="34"/>
      <c r="AH95" s="35"/>
    </row>
    <row r="96" spans="5:34" s="16" customFormat="1" ht="11.25" x14ac:dyDescent="0.15">
      <c r="F96" s="33" t="s">
        <v>42</v>
      </c>
      <c r="G96" s="34"/>
      <c r="H96" s="34"/>
      <c r="I96" s="34"/>
      <c r="J96" s="35"/>
      <c r="K96" s="33" t="s">
        <v>43</v>
      </c>
      <c r="L96" s="34"/>
      <c r="M96" s="34"/>
      <c r="N96" s="34"/>
      <c r="O96" s="34"/>
      <c r="P96" s="34"/>
      <c r="Q96" s="34"/>
      <c r="R96" s="34"/>
      <c r="S96" s="34"/>
      <c r="T96" s="34"/>
      <c r="U96" s="34"/>
      <c r="V96" s="34"/>
      <c r="W96" s="34"/>
      <c r="X96" s="34"/>
      <c r="Y96" s="34"/>
      <c r="Z96" s="34"/>
      <c r="AA96" s="34"/>
      <c r="AB96" s="34"/>
      <c r="AC96" s="34"/>
      <c r="AD96" s="34"/>
      <c r="AE96" s="34"/>
      <c r="AF96" s="34"/>
      <c r="AG96" s="34"/>
      <c r="AH96" s="35"/>
    </row>
    <row r="97" spans="5:34" s="16" customFormat="1" ht="11.25" x14ac:dyDescent="0.15">
      <c r="F97" s="25" t="s">
        <v>44</v>
      </c>
      <c r="G97" s="26"/>
      <c r="H97" s="26"/>
      <c r="I97" s="26"/>
      <c r="J97" s="27"/>
      <c r="K97" s="25" t="s">
        <v>45</v>
      </c>
      <c r="L97" s="26"/>
      <c r="M97" s="26"/>
      <c r="N97" s="26"/>
      <c r="O97" s="26"/>
      <c r="P97" s="26"/>
      <c r="Q97" s="26"/>
      <c r="R97" s="26"/>
      <c r="S97" s="26"/>
      <c r="T97" s="26"/>
      <c r="U97" s="26"/>
      <c r="V97" s="26"/>
      <c r="W97" s="26"/>
      <c r="X97" s="26"/>
      <c r="Y97" s="26"/>
      <c r="Z97" s="26"/>
      <c r="AA97" s="26"/>
      <c r="AB97" s="26"/>
      <c r="AC97" s="26"/>
      <c r="AD97" s="26"/>
      <c r="AE97" s="26"/>
      <c r="AF97" s="26"/>
      <c r="AG97" s="26"/>
      <c r="AH97" s="27"/>
    </row>
    <row r="98" spans="5:34" s="16" customFormat="1" ht="11.25" x14ac:dyDescent="0.15"/>
    <row r="99" spans="5:34" s="16" customFormat="1" ht="11.25" x14ac:dyDescent="0.15">
      <c r="E99" s="17" t="str">
        <f>$D$25&amp;"1."</f>
        <v>6.2.2.1.</v>
      </c>
      <c r="F99" s="16" t="s">
        <v>46</v>
      </c>
    </row>
    <row r="100" spans="5:34" s="16" customFormat="1" ht="11.25" x14ac:dyDescent="0.15">
      <c r="F100" s="39" t="s">
        <v>47</v>
      </c>
      <c r="G100" s="40"/>
      <c r="H100" s="40"/>
      <c r="I100" s="41"/>
      <c r="J100" s="39" t="s">
        <v>48</v>
      </c>
      <c r="K100" s="40"/>
      <c r="L100" s="40"/>
      <c r="M100" s="40"/>
      <c r="N100" s="40"/>
      <c r="O100" s="40"/>
      <c r="P100" s="40"/>
      <c r="Q100" s="40"/>
      <c r="R100" s="40"/>
      <c r="S100" s="40"/>
      <c r="T100" s="40"/>
      <c r="U100" s="40"/>
      <c r="V100" s="40"/>
      <c r="W100" s="40"/>
      <c r="X100" s="40"/>
      <c r="Y100" s="40"/>
      <c r="Z100" s="40"/>
      <c r="AA100" s="40"/>
      <c r="AB100" s="37"/>
      <c r="AC100" s="37"/>
      <c r="AD100" s="38"/>
    </row>
    <row r="101" spans="5:34" s="16" customFormat="1" ht="11.25" x14ac:dyDescent="0.15">
      <c r="F101" s="25" t="s">
        <v>49</v>
      </c>
      <c r="G101" s="26"/>
      <c r="H101" s="26"/>
      <c r="I101" s="27"/>
      <c r="J101" s="25" t="s">
        <v>50</v>
      </c>
      <c r="K101" s="26"/>
      <c r="L101" s="26"/>
      <c r="M101" s="26"/>
      <c r="N101" s="26"/>
      <c r="O101" s="26"/>
      <c r="P101" s="26"/>
      <c r="Q101" s="26"/>
      <c r="R101" s="26"/>
      <c r="S101" s="26"/>
      <c r="T101" s="26"/>
      <c r="U101" s="26"/>
      <c r="V101" s="26"/>
      <c r="W101" s="26"/>
      <c r="X101" s="26"/>
      <c r="Y101" s="26"/>
      <c r="Z101" s="26"/>
      <c r="AA101" s="26"/>
      <c r="AB101" s="26"/>
      <c r="AC101" s="26"/>
      <c r="AD101" s="27"/>
    </row>
    <row r="102" spans="5:34" s="16" customFormat="1" ht="11.25" x14ac:dyDescent="0.15">
      <c r="F102" s="28" t="s">
        <v>51</v>
      </c>
      <c r="G102" s="29"/>
      <c r="H102" s="29"/>
      <c r="I102" s="30"/>
      <c r="J102" s="28" t="s">
        <v>52</v>
      </c>
      <c r="K102" s="29"/>
      <c r="L102" s="29"/>
      <c r="M102" s="29"/>
      <c r="N102" s="29"/>
      <c r="O102" s="29"/>
      <c r="P102" s="29"/>
      <c r="Q102" s="29"/>
      <c r="R102" s="29"/>
      <c r="S102" s="29"/>
      <c r="T102" s="29"/>
      <c r="U102" s="29"/>
      <c r="V102" s="29"/>
      <c r="W102" s="29"/>
      <c r="X102" s="29"/>
      <c r="Y102" s="29"/>
      <c r="Z102" s="29"/>
      <c r="AA102" s="29"/>
      <c r="AB102" s="29"/>
      <c r="AC102" s="29"/>
      <c r="AD102" s="30"/>
    </row>
    <row r="103" spans="5:34" s="16" customFormat="1" ht="11.25" x14ac:dyDescent="0.15">
      <c r="F103" s="31"/>
      <c r="I103" s="32"/>
      <c r="J103" s="31" t="s">
        <v>53</v>
      </c>
      <c r="AA103" s="43"/>
      <c r="AB103" s="43"/>
      <c r="AC103" s="43"/>
      <c r="AD103" s="32"/>
    </row>
    <row r="104" spans="5:34" s="16" customFormat="1" ht="11.25" x14ac:dyDescent="0.15">
      <c r="F104" s="31"/>
      <c r="I104" s="32"/>
      <c r="J104" s="31" t="s">
        <v>54</v>
      </c>
      <c r="AA104" s="43"/>
      <c r="AB104" s="43"/>
      <c r="AC104" s="43"/>
      <c r="AD104" s="32"/>
    </row>
    <row r="105" spans="5:34" s="16" customFormat="1" ht="11.25" x14ac:dyDescent="0.15">
      <c r="F105" s="31"/>
      <c r="I105" s="32"/>
      <c r="J105" s="31" t="s">
        <v>115</v>
      </c>
      <c r="AA105" s="43"/>
      <c r="AB105" s="43"/>
      <c r="AC105" s="43"/>
      <c r="AD105" s="32"/>
    </row>
    <row r="106" spans="5:34" s="16" customFormat="1" ht="11.25" x14ac:dyDescent="0.15">
      <c r="F106" s="31"/>
      <c r="I106" s="32"/>
      <c r="J106" s="31" t="s">
        <v>55</v>
      </c>
      <c r="AA106" s="43"/>
      <c r="AB106" s="34"/>
      <c r="AC106" s="34"/>
      <c r="AD106" s="35"/>
    </row>
    <row r="107" spans="5:34" s="16" customFormat="1" ht="11.25" x14ac:dyDescent="0.15">
      <c r="F107" s="28" t="s">
        <v>56</v>
      </c>
      <c r="G107" s="29"/>
      <c r="H107" s="29"/>
      <c r="I107" s="30"/>
      <c r="J107" s="28" t="s">
        <v>57</v>
      </c>
      <c r="K107" s="29"/>
      <c r="L107" s="29"/>
      <c r="M107" s="29"/>
      <c r="N107" s="29"/>
      <c r="O107" s="29"/>
      <c r="P107" s="29"/>
      <c r="Q107" s="29"/>
      <c r="R107" s="29"/>
      <c r="S107" s="29"/>
      <c r="T107" s="29"/>
      <c r="U107" s="29"/>
      <c r="V107" s="29"/>
      <c r="W107" s="29"/>
      <c r="X107" s="29"/>
      <c r="Y107" s="29"/>
      <c r="Z107" s="29"/>
      <c r="AA107" s="29"/>
      <c r="AB107" s="29"/>
      <c r="AC107" s="29"/>
      <c r="AD107" s="30"/>
    </row>
    <row r="108" spans="5:34" s="16" customFormat="1" ht="11.25" x14ac:dyDescent="0.15">
      <c r="F108" s="31"/>
      <c r="I108" s="32"/>
      <c r="J108" s="31" t="s">
        <v>58</v>
      </c>
      <c r="AA108" s="43"/>
      <c r="AB108" s="43"/>
      <c r="AC108" s="43"/>
      <c r="AD108" s="32"/>
    </row>
    <row r="109" spans="5:34" s="16" customFormat="1" ht="11.25" x14ac:dyDescent="0.15">
      <c r="F109" s="31"/>
      <c r="I109" s="32"/>
      <c r="J109" s="31" t="s">
        <v>59</v>
      </c>
      <c r="AA109" s="43"/>
      <c r="AB109" s="43"/>
      <c r="AC109" s="43"/>
      <c r="AD109" s="32"/>
    </row>
    <row r="110" spans="5:34" s="16" customFormat="1" ht="11.25" x14ac:dyDescent="0.15">
      <c r="F110" s="33"/>
      <c r="G110" s="34"/>
      <c r="H110" s="34"/>
      <c r="I110" s="35"/>
      <c r="J110" s="33" t="s">
        <v>60</v>
      </c>
      <c r="K110" s="34"/>
      <c r="L110" s="34"/>
      <c r="M110" s="34"/>
      <c r="N110" s="34"/>
      <c r="O110" s="34"/>
      <c r="P110" s="34"/>
      <c r="Q110" s="34"/>
      <c r="R110" s="34"/>
      <c r="S110" s="34"/>
      <c r="T110" s="34"/>
      <c r="U110" s="34"/>
      <c r="V110" s="34"/>
      <c r="W110" s="34"/>
      <c r="X110" s="34"/>
      <c r="Y110" s="34"/>
      <c r="Z110" s="34"/>
      <c r="AA110" s="34"/>
      <c r="AB110" s="34"/>
      <c r="AC110" s="34"/>
      <c r="AD110" s="35"/>
    </row>
    <row r="111" spans="5:34" s="16" customFormat="1" ht="11.25" x14ac:dyDescent="0.15">
      <c r="F111" s="33" t="s">
        <v>61</v>
      </c>
      <c r="G111" s="34"/>
      <c r="H111" s="34"/>
      <c r="I111" s="35"/>
      <c r="J111" s="33" t="s">
        <v>62</v>
      </c>
      <c r="K111" s="34"/>
      <c r="L111" s="34"/>
      <c r="M111" s="34"/>
      <c r="N111" s="34"/>
      <c r="O111" s="34"/>
      <c r="P111" s="34"/>
      <c r="Q111" s="34"/>
      <c r="R111" s="34"/>
      <c r="S111" s="34"/>
      <c r="T111" s="34"/>
      <c r="U111" s="34"/>
      <c r="V111" s="34"/>
      <c r="W111" s="34"/>
      <c r="X111" s="34"/>
      <c r="Y111" s="34"/>
      <c r="Z111" s="34"/>
      <c r="AA111" s="34"/>
      <c r="AB111" s="26"/>
      <c r="AC111" s="26"/>
      <c r="AD111" s="27"/>
    </row>
    <row r="112" spans="5:34" s="16" customFormat="1" ht="11.25" x14ac:dyDescent="0.15">
      <c r="F112" s="25" t="s">
        <v>63</v>
      </c>
      <c r="G112" s="26"/>
      <c r="H112" s="26"/>
      <c r="I112" s="27"/>
      <c r="J112" s="25" t="s">
        <v>64</v>
      </c>
      <c r="K112" s="26"/>
      <c r="L112" s="26"/>
      <c r="M112" s="26"/>
      <c r="N112" s="26"/>
      <c r="O112" s="26"/>
      <c r="P112" s="26"/>
      <c r="Q112" s="26"/>
      <c r="R112" s="26"/>
      <c r="S112" s="26"/>
      <c r="T112" s="26"/>
      <c r="U112" s="26"/>
      <c r="V112" s="26"/>
      <c r="W112" s="26"/>
      <c r="X112" s="26"/>
      <c r="Y112" s="26"/>
      <c r="Z112" s="26"/>
      <c r="AA112" s="26"/>
      <c r="AB112" s="26"/>
      <c r="AC112" s="26"/>
      <c r="AD112" s="27"/>
    </row>
    <row r="113" spans="5:30" s="16" customFormat="1" ht="11.25" x14ac:dyDescent="0.15">
      <c r="F113" s="25" t="s">
        <v>65</v>
      </c>
      <c r="G113" s="26"/>
      <c r="H113" s="26"/>
      <c r="I113" s="27"/>
      <c r="J113" s="25" t="s">
        <v>66</v>
      </c>
      <c r="K113" s="26"/>
      <c r="L113" s="26"/>
      <c r="M113" s="26"/>
      <c r="N113" s="26"/>
      <c r="O113" s="26"/>
      <c r="P113" s="26"/>
      <c r="Q113" s="26"/>
      <c r="R113" s="26"/>
      <c r="S113" s="26"/>
      <c r="T113" s="26"/>
      <c r="U113" s="26"/>
      <c r="V113" s="26"/>
      <c r="W113" s="26"/>
      <c r="X113" s="26"/>
      <c r="Y113" s="26"/>
      <c r="Z113" s="26"/>
      <c r="AA113" s="26"/>
      <c r="AB113" s="26"/>
      <c r="AC113" s="26"/>
      <c r="AD113" s="27"/>
    </row>
    <row r="114" spans="5:30" s="16" customFormat="1" ht="11.25" x14ac:dyDescent="0.15">
      <c r="F114" s="28" t="s">
        <v>67</v>
      </c>
      <c r="G114" s="29"/>
      <c r="H114" s="29"/>
      <c r="I114" s="30"/>
      <c r="J114" s="28" t="s">
        <v>68</v>
      </c>
      <c r="K114" s="29"/>
      <c r="L114" s="29"/>
      <c r="M114" s="29"/>
      <c r="N114" s="29"/>
      <c r="O114" s="29"/>
      <c r="P114" s="29"/>
      <c r="Q114" s="29"/>
      <c r="R114" s="29"/>
      <c r="S114" s="29"/>
      <c r="T114" s="29"/>
      <c r="U114" s="29"/>
      <c r="V114" s="29"/>
      <c r="W114" s="29"/>
      <c r="X114" s="29"/>
      <c r="Y114" s="29"/>
      <c r="Z114" s="29"/>
      <c r="AA114" s="29"/>
      <c r="AB114" s="29"/>
      <c r="AC114" s="29"/>
      <c r="AD114" s="30"/>
    </row>
    <row r="115" spans="5:30" s="16" customFormat="1" ht="11.25" x14ac:dyDescent="0.15">
      <c r="F115" s="31"/>
      <c r="I115" s="32"/>
      <c r="J115" s="31" t="s">
        <v>69</v>
      </c>
      <c r="AA115" s="43"/>
      <c r="AB115" s="43"/>
      <c r="AC115" s="43"/>
      <c r="AD115" s="32"/>
    </row>
    <row r="116" spans="5:30" s="16" customFormat="1" ht="11.25" x14ac:dyDescent="0.15">
      <c r="F116" s="31"/>
      <c r="I116" s="32"/>
      <c r="J116" s="31" t="s">
        <v>70</v>
      </c>
      <c r="AA116" s="43"/>
      <c r="AB116" s="34"/>
      <c r="AC116" s="34"/>
      <c r="AD116" s="35"/>
    </row>
    <row r="117" spans="5:30" s="16" customFormat="1" ht="11.25" x14ac:dyDescent="0.15">
      <c r="F117" s="28" t="s">
        <v>71</v>
      </c>
      <c r="G117" s="29"/>
      <c r="H117" s="29"/>
      <c r="I117" s="30"/>
      <c r="J117" s="28" t="s">
        <v>72</v>
      </c>
      <c r="K117" s="29"/>
      <c r="L117" s="29"/>
      <c r="M117" s="29"/>
      <c r="N117" s="29"/>
      <c r="O117" s="29"/>
      <c r="P117" s="29"/>
      <c r="Q117" s="29"/>
      <c r="R117" s="29"/>
      <c r="S117" s="29"/>
      <c r="T117" s="29"/>
      <c r="U117" s="29"/>
      <c r="V117" s="29"/>
      <c r="W117" s="29"/>
      <c r="X117" s="29"/>
      <c r="Y117" s="29"/>
      <c r="Z117" s="29"/>
      <c r="AA117" s="29"/>
      <c r="AB117" s="29"/>
      <c r="AC117" s="29"/>
      <c r="AD117" s="30"/>
    </row>
    <row r="118" spans="5:30" s="16" customFormat="1" ht="11.25" x14ac:dyDescent="0.15">
      <c r="F118" s="31"/>
      <c r="I118" s="32"/>
      <c r="J118" s="31" t="s">
        <v>73</v>
      </c>
      <c r="AA118" s="43"/>
      <c r="AB118" s="43"/>
      <c r="AC118" s="43"/>
      <c r="AD118" s="32"/>
    </row>
    <row r="119" spans="5:30" s="16" customFormat="1" ht="11.25" x14ac:dyDescent="0.15">
      <c r="F119" s="33"/>
      <c r="G119" s="34"/>
      <c r="H119" s="34"/>
      <c r="I119" s="35"/>
      <c r="J119" s="33" t="s">
        <v>74</v>
      </c>
      <c r="K119" s="34"/>
      <c r="L119" s="34"/>
      <c r="M119" s="34"/>
      <c r="N119" s="34"/>
      <c r="O119" s="34"/>
      <c r="P119" s="34"/>
      <c r="Q119" s="34"/>
      <c r="R119" s="34"/>
      <c r="S119" s="34"/>
      <c r="T119" s="34"/>
      <c r="U119" s="34"/>
      <c r="V119" s="34"/>
      <c r="W119" s="34"/>
      <c r="X119" s="34"/>
      <c r="Y119" s="34"/>
      <c r="Z119" s="34"/>
      <c r="AA119" s="34"/>
      <c r="AB119" s="34"/>
      <c r="AC119" s="34"/>
      <c r="AD119" s="35"/>
    </row>
    <row r="120" spans="5:30" s="16" customFormat="1" ht="11.25" x14ac:dyDescent="0.15">
      <c r="F120" s="43"/>
      <c r="G120" s="43"/>
      <c r="H120" s="43"/>
      <c r="I120" s="43"/>
      <c r="J120" s="43"/>
      <c r="K120" s="43"/>
      <c r="L120" s="43"/>
      <c r="M120" s="43"/>
      <c r="N120" s="43"/>
      <c r="O120" s="43"/>
      <c r="P120" s="43"/>
      <c r="Q120" s="43"/>
      <c r="R120" s="43"/>
      <c r="S120" s="43"/>
      <c r="T120" s="43"/>
      <c r="U120" s="43"/>
      <c r="V120" s="43"/>
      <c r="W120" s="43"/>
      <c r="X120" s="43"/>
      <c r="Y120" s="43"/>
      <c r="Z120" s="43"/>
      <c r="AA120" s="43"/>
    </row>
    <row r="121" spans="5:30" s="16" customFormat="1" ht="11.25" x14ac:dyDescent="0.15">
      <c r="F121" s="43"/>
      <c r="G121" s="43"/>
      <c r="H121" s="43"/>
      <c r="I121" s="43"/>
      <c r="J121" s="43"/>
      <c r="K121" s="43"/>
      <c r="L121" s="43"/>
      <c r="M121" s="43"/>
      <c r="N121" s="43"/>
      <c r="O121" s="43"/>
      <c r="P121" s="43"/>
      <c r="Q121" s="43"/>
      <c r="R121" s="43"/>
      <c r="S121" s="43"/>
      <c r="T121" s="43"/>
      <c r="U121" s="43"/>
      <c r="V121" s="43"/>
      <c r="W121" s="43"/>
      <c r="X121" s="43"/>
      <c r="Y121" s="43"/>
      <c r="Z121" s="43"/>
      <c r="AA121" s="43"/>
    </row>
    <row r="122" spans="5:30" s="16" customFormat="1" ht="11.25" x14ac:dyDescent="0.15">
      <c r="F122" s="43"/>
      <c r="G122" s="43"/>
      <c r="H122" s="43"/>
      <c r="I122" s="43"/>
      <c r="J122" s="43"/>
      <c r="K122" s="43"/>
      <c r="L122" s="43"/>
      <c r="M122" s="43"/>
      <c r="N122" s="43"/>
      <c r="O122" s="43"/>
      <c r="P122" s="43"/>
      <c r="Q122" s="43"/>
      <c r="R122" s="43"/>
      <c r="S122" s="43"/>
      <c r="T122" s="43"/>
      <c r="U122" s="43"/>
      <c r="V122" s="43"/>
      <c r="W122" s="43"/>
      <c r="X122" s="43"/>
      <c r="Y122" s="43"/>
      <c r="Z122" s="43"/>
      <c r="AA122" s="43"/>
    </row>
    <row r="123" spans="5:30" s="16" customFormat="1" ht="11.25" x14ac:dyDescent="0.15">
      <c r="F123" s="43"/>
      <c r="G123" s="43"/>
      <c r="H123" s="43"/>
      <c r="I123" s="43"/>
      <c r="J123" s="43"/>
      <c r="K123" s="43"/>
      <c r="L123" s="43"/>
      <c r="M123" s="43"/>
      <c r="N123" s="43"/>
      <c r="O123" s="43"/>
      <c r="P123" s="43"/>
      <c r="Q123" s="43"/>
      <c r="R123" s="43"/>
      <c r="S123" s="43"/>
      <c r="T123" s="43"/>
      <c r="U123" s="43"/>
      <c r="V123" s="43"/>
      <c r="W123" s="43"/>
      <c r="X123" s="43"/>
      <c r="Y123" s="43"/>
      <c r="Z123" s="43"/>
      <c r="AA123" s="43"/>
    </row>
    <row r="124" spans="5:30" s="16" customFormat="1" ht="11.25" x14ac:dyDescent="0.15">
      <c r="F124" s="43"/>
      <c r="G124" s="43"/>
      <c r="H124" s="43"/>
      <c r="I124" s="43"/>
      <c r="J124" s="43"/>
      <c r="K124" s="43"/>
      <c r="L124" s="43"/>
      <c r="M124" s="43"/>
      <c r="N124" s="43"/>
      <c r="O124" s="43"/>
      <c r="P124" s="43"/>
      <c r="Q124" s="43"/>
      <c r="R124" s="43"/>
      <c r="S124" s="43"/>
      <c r="T124" s="43"/>
      <c r="U124" s="43"/>
      <c r="V124" s="43"/>
      <c r="W124" s="43"/>
      <c r="X124" s="43"/>
      <c r="Y124" s="43"/>
      <c r="Z124" s="43"/>
      <c r="AA124" s="43"/>
    </row>
    <row r="125" spans="5:30" s="16" customFormat="1" ht="11.25" x14ac:dyDescent="0.15">
      <c r="F125" s="43"/>
      <c r="G125" s="43"/>
      <c r="H125" s="43"/>
      <c r="I125" s="43"/>
      <c r="J125" s="43"/>
      <c r="K125" s="43"/>
      <c r="L125" s="43"/>
      <c r="M125" s="43"/>
      <c r="N125" s="43"/>
      <c r="O125" s="43"/>
      <c r="P125" s="43"/>
      <c r="Q125" s="43"/>
      <c r="R125" s="43"/>
      <c r="S125" s="43"/>
      <c r="T125" s="43"/>
      <c r="U125" s="43"/>
      <c r="V125" s="43"/>
      <c r="W125" s="43"/>
      <c r="X125" s="43"/>
      <c r="Y125" s="43"/>
      <c r="Z125" s="43"/>
      <c r="AA125" s="43"/>
    </row>
    <row r="126" spans="5:30" s="16" customFormat="1" ht="11.25" x14ac:dyDescent="0.15">
      <c r="F126" s="43"/>
      <c r="G126" s="43"/>
      <c r="H126" s="43"/>
      <c r="I126" s="43"/>
      <c r="J126" s="43"/>
      <c r="K126" s="43"/>
      <c r="L126" s="43"/>
      <c r="M126" s="43"/>
      <c r="N126" s="43"/>
      <c r="O126" s="43"/>
      <c r="P126" s="43"/>
      <c r="Q126" s="43"/>
      <c r="R126" s="43"/>
      <c r="S126" s="43"/>
      <c r="T126" s="43"/>
      <c r="U126" s="43"/>
      <c r="V126" s="43"/>
      <c r="W126" s="43"/>
      <c r="X126" s="43"/>
      <c r="Y126" s="43"/>
      <c r="Z126" s="43"/>
      <c r="AA126" s="43"/>
    </row>
    <row r="127" spans="5:30" s="16" customFormat="1" ht="11.25" x14ac:dyDescent="0.15">
      <c r="E127" s="17" t="str">
        <f>$D$25&amp;"2."</f>
        <v>6.2.2.2.</v>
      </c>
      <c r="F127" s="16" t="s">
        <v>75</v>
      </c>
    </row>
    <row r="128" spans="5:30" s="16" customFormat="1" ht="11.25" x14ac:dyDescent="0.15">
      <c r="F128" s="16" t="s">
        <v>76</v>
      </c>
    </row>
    <row r="129" spans="6:34" s="16" customFormat="1" ht="11.25" x14ac:dyDescent="0.15"/>
    <row r="130" spans="6:34" s="16" customFormat="1" ht="11.25" x14ac:dyDescent="0.15">
      <c r="F130" s="17" t="str">
        <f>$E$127&amp;"1."</f>
        <v>6.2.2.2.1.</v>
      </c>
      <c r="G130" s="16" t="s">
        <v>77</v>
      </c>
    </row>
    <row r="131" spans="6:34" s="16" customFormat="1" ht="11.25" x14ac:dyDescent="0.15">
      <c r="G131" s="36" t="s">
        <v>78</v>
      </c>
      <c r="H131" s="37"/>
      <c r="I131" s="37"/>
      <c r="J131" s="38"/>
      <c r="K131" s="36" t="s">
        <v>79</v>
      </c>
      <c r="L131" s="37"/>
      <c r="M131" s="37"/>
      <c r="N131" s="37"/>
      <c r="O131" s="37"/>
      <c r="P131" s="37"/>
      <c r="Q131" s="37"/>
      <c r="R131" s="38"/>
      <c r="S131" s="36" t="s">
        <v>80</v>
      </c>
      <c r="T131" s="37"/>
      <c r="U131" s="37"/>
      <c r="V131" s="37"/>
      <c r="W131" s="37"/>
      <c r="X131" s="37"/>
      <c r="Y131" s="37"/>
      <c r="Z131" s="38"/>
      <c r="AA131" s="36" t="s">
        <v>81</v>
      </c>
      <c r="AB131" s="37"/>
      <c r="AC131" s="37"/>
      <c r="AD131" s="37"/>
      <c r="AE131" s="37"/>
      <c r="AF131" s="37"/>
      <c r="AG131" s="37"/>
      <c r="AH131" s="38"/>
    </row>
    <row r="132" spans="6:34" s="16" customFormat="1" ht="11.25" x14ac:dyDescent="0.15">
      <c r="G132" s="28" t="s">
        <v>82</v>
      </c>
      <c r="H132" s="29"/>
      <c r="I132" s="29"/>
      <c r="J132" s="30"/>
      <c r="K132" s="28" t="s">
        <v>83</v>
      </c>
      <c r="L132" s="29"/>
      <c r="M132" s="29"/>
      <c r="N132" s="29"/>
      <c r="O132" s="29"/>
      <c r="P132" s="29"/>
      <c r="Q132" s="29"/>
      <c r="R132" s="30"/>
      <c r="S132" s="28" t="s">
        <v>122</v>
      </c>
      <c r="T132" s="29"/>
      <c r="U132" s="29"/>
      <c r="V132" s="29"/>
      <c r="W132" s="29"/>
      <c r="X132" s="29"/>
      <c r="Y132" s="29"/>
      <c r="Z132" s="30"/>
      <c r="AA132" s="28" t="s">
        <v>84</v>
      </c>
      <c r="AB132" s="29"/>
      <c r="AC132" s="29"/>
      <c r="AD132" s="29"/>
      <c r="AE132" s="29"/>
      <c r="AF132" s="29"/>
      <c r="AG132" s="29"/>
      <c r="AH132" s="30"/>
    </row>
    <row r="133" spans="6:34" s="16" customFormat="1" ht="11.25" x14ac:dyDescent="0.15">
      <c r="G133" s="31"/>
      <c r="J133" s="32"/>
      <c r="K133" s="31" t="s">
        <v>85</v>
      </c>
      <c r="R133" s="32"/>
      <c r="S133" s="31" t="s">
        <v>123</v>
      </c>
      <c r="Z133" s="32"/>
      <c r="AA133" s="31"/>
      <c r="AH133" s="32"/>
    </row>
    <row r="134" spans="6:34" s="16" customFormat="1" ht="11.25" x14ac:dyDescent="0.15">
      <c r="G134" s="31"/>
      <c r="J134" s="32"/>
      <c r="K134" s="31" t="s">
        <v>86</v>
      </c>
      <c r="R134" s="32"/>
      <c r="S134" s="31"/>
      <c r="Z134" s="32"/>
      <c r="AA134" s="31"/>
      <c r="AH134" s="32"/>
    </row>
    <row r="135" spans="6:34" s="16" customFormat="1" ht="11.25" x14ac:dyDescent="0.15">
      <c r="G135" s="33"/>
      <c r="H135" s="34"/>
      <c r="I135" s="34"/>
      <c r="J135" s="35"/>
      <c r="K135" s="33" t="s">
        <v>87</v>
      </c>
      <c r="L135" s="34"/>
      <c r="M135" s="34"/>
      <c r="N135" s="34"/>
      <c r="O135" s="34"/>
      <c r="P135" s="34"/>
      <c r="Q135" s="34"/>
      <c r="R135" s="35"/>
      <c r="S135" s="33"/>
      <c r="T135" s="34"/>
      <c r="U135" s="34"/>
      <c r="V135" s="34"/>
      <c r="W135" s="34"/>
      <c r="X135" s="34"/>
      <c r="Y135" s="34"/>
      <c r="Z135" s="35"/>
      <c r="AA135" s="33"/>
      <c r="AB135" s="34"/>
      <c r="AC135" s="34"/>
      <c r="AD135" s="34"/>
      <c r="AE135" s="34"/>
      <c r="AF135" s="34"/>
      <c r="AG135" s="34"/>
      <c r="AH135" s="35"/>
    </row>
    <row r="136" spans="6:34" s="16" customFormat="1" ht="11.25" x14ac:dyDescent="0.15"/>
    <row r="137" spans="6:34" s="16" customFormat="1" ht="11.25" x14ac:dyDescent="0.15">
      <c r="G137" s="16" t="s">
        <v>88</v>
      </c>
    </row>
    <row r="138" spans="6:34" s="16" customFormat="1" ht="11.25" x14ac:dyDescent="0.15"/>
    <row r="139" spans="6:34" s="16" customFormat="1" ht="11.25" x14ac:dyDescent="0.15">
      <c r="F139" s="17" t="str">
        <f>$E$127&amp;"1."</f>
        <v>6.2.2.2.1.</v>
      </c>
      <c r="G139" s="16" t="s">
        <v>89</v>
      </c>
    </row>
    <row r="140" spans="6:34" s="16" customFormat="1" ht="11.25" x14ac:dyDescent="0.15">
      <c r="G140" s="39" t="s">
        <v>78</v>
      </c>
      <c r="H140" s="40"/>
      <c r="I140" s="40"/>
      <c r="J140" s="41"/>
      <c r="K140" s="39" t="s">
        <v>79</v>
      </c>
      <c r="L140" s="40"/>
      <c r="M140" s="40"/>
      <c r="N140" s="40"/>
      <c r="O140" s="40"/>
      <c r="P140" s="40"/>
      <c r="Q140" s="40"/>
      <c r="R140" s="40"/>
      <c r="S140" s="38"/>
      <c r="T140" s="39" t="s">
        <v>80</v>
      </c>
      <c r="U140" s="40"/>
      <c r="V140" s="40"/>
      <c r="W140" s="40"/>
      <c r="X140" s="40"/>
      <c r="Y140" s="40"/>
      <c r="Z140" s="40"/>
      <c r="AA140" s="41"/>
      <c r="AB140" s="39" t="s">
        <v>81</v>
      </c>
      <c r="AC140" s="40"/>
      <c r="AD140" s="40"/>
      <c r="AE140" s="40"/>
      <c r="AF140" s="40"/>
      <c r="AG140" s="40"/>
      <c r="AH140" s="41"/>
    </row>
    <row r="141" spans="6:34" s="16" customFormat="1" ht="11.25" x14ac:dyDescent="0.15">
      <c r="G141" s="28" t="s">
        <v>90</v>
      </c>
      <c r="H141" s="29"/>
      <c r="I141" s="29"/>
      <c r="J141" s="30"/>
      <c r="K141" s="28" t="s">
        <v>91</v>
      </c>
      <c r="L141" s="29"/>
      <c r="M141" s="29"/>
      <c r="N141" s="29"/>
      <c r="O141" s="29"/>
      <c r="P141" s="29"/>
      <c r="Q141" s="29"/>
      <c r="R141" s="29"/>
      <c r="S141" s="30"/>
      <c r="T141" s="28" t="s">
        <v>122</v>
      </c>
      <c r="U141" s="29"/>
      <c r="V141" s="29"/>
      <c r="W141" s="29"/>
      <c r="X141" s="29"/>
      <c r="Y141" s="29"/>
      <c r="Z141" s="29"/>
      <c r="AA141" s="30"/>
      <c r="AB141" s="28" t="s">
        <v>92</v>
      </c>
      <c r="AC141" s="29"/>
      <c r="AD141" s="29"/>
      <c r="AE141" s="29"/>
      <c r="AF141" s="29"/>
      <c r="AG141" s="29"/>
      <c r="AH141" s="30"/>
    </row>
    <row r="142" spans="6:34" s="16" customFormat="1" ht="11.25" x14ac:dyDescent="0.15">
      <c r="G142" s="33"/>
      <c r="H142" s="34"/>
      <c r="I142" s="34"/>
      <c r="J142" s="35"/>
      <c r="K142" s="33" t="s">
        <v>93</v>
      </c>
      <c r="L142" s="34"/>
      <c r="M142" s="34"/>
      <c r="N142" s="34"/>
      <c r="O142" s="34"/>
      <c r="P142" s="34"/>
      <c r="Q142" s="34"/>
      <c r="R142" s="34"/>
      <c r="S142" s="35"/>
      <c r="T142" s="33" t="s">
        <v>123</v>
      </c>
      <c r="U142" s="34"/>
      <c r="V142" s="34"/>
      <c r="W142" s="34"/>
      <c r="X142" s="34"/>
      <c r="Y142" s="34"/>
      <c r="Z142" s="34"/>
      <c r="AA142" s="35"/>
      <c r="AB142" s="33"/>
      <c r="AC142" s="34"/>
      <c r="AD142" s="34"/>
      <c r="AE142" s="34"/>
      <c r="AF142" s="34"/>
      <c r="AG142" s="34"/>
      <c r="AH142" s="35"/>
    </row>
    <row r="143" spans="6:34" s="16" customFormat="1" ht="11.25" x14ac:dyDescent="0.15">
      <c r="G143" s="28" t="s">
        <v>94</v>
      </c>
      <c r="H143" s="29"/>
      <c r="I143" s="29"/>
      <c r="J143" s="30"/>
      <c r="K143" s="28" t="s">
        <v>95</v>
      </c>
      <c r="L143" s="29"/>
      <c r="M143" s="29"/>
      <c r="N143" s="29"/>
      <c r="O143" s="29"/>
      <c r="P143" s="29"/>
      <c r="Q143" s="29"/>
      <c r="R143" s="29"/>
      <c r="S143" s="30"/>
      <c r="T143" s="28" t="s">
        <v>122</v>
      </c>
      <c r="U143" s="29"/>
      <c r="V143" s="29"/>
      <c r="W143" s="29"/>
      <c r="X143" s="29"/>
      <c r="Y143" s="29"/>
      <c r="Z143" s="29"/>
      <c r="AA143" s="30"/>
      <c r="AB143" s="28" t="s">
        <v>92</v>
      </c>
      <c r="AC143" s="29"/>
      <c r="AD143" s="29"/>
      <c r="AE143" s="29"/>
      <c r="AF143" s="29"/>
      <c r="AG143" s="29"/>
      <c r="AH143" s="30"/>
    </row>
    <row r="144" spans="6:34" s="16" customFormat="1" ht="11.25" x14ac:dyDescent="0.15">
      <c r="G144" s="31" t="s">
        <v>96</v>
      </c>
      <c r="J144" s="32"/>
      <c r="K144" s="31" t="s">
        <v>97</v>
      </c>
      <c r="R144" s="43"/>
      <c r="S144" s="32"/>
      <c r="T144" s="31" t="s">
        <v>124</v>
      </c>
      <c r="AA144" s="32"/>
      <c r="AB144" s="31"/>
      <c r="AH144" s="32"/>
    </row>
    <row r="145" spans="4:34" s="16" customFormat="1" ht="11.25" x14ac:dyDescent="0.15">
      <c r="G145" s="33"/>
      <c r="H145" s="34"/>
      <c r="I145" s="34"/>
      <c r="J145" s="35"/>
      <c r="K145" s="33" t="s">
        <v>98</v>
      </c>
      <c r="L145" s="34"/>
      <c r="M145" s="34"/>
      <c r="N145" s="34"/>
      <c r="O145" s="34"/>
      <c r="P145" s="34"/>
      <c r="Q145" s="34"/>
      <c r="R145" s="34"/>
      <c r="S145" s="35"/>
      <c r="T145" s="33"/>
      <c r="U145" s="34"/>
      <c r="V145" s="34"/>
      <c r="W145" s="34"/>
      <c r="X145" s="34"/>
      <c r="Y145" s="34"/>
      <c r="Z145" s="34"/>
      <c r="AA145" s="35"/>
      <c r="AB145" s="33"/>
      <c r="AC145" s="34"/>
      <c r="AD145" s="34"/>
      <c r="AE145" s="34"/>
      <c r="AF145" s="34"/>
      <c r="AG145" s="34"/>
      <c r="AH145" s="35"/>
    </row>
    <row r="146" spans="4:34" s="16" customFormat="1" ht="11.25" x14ac:dyDescent="0.15"/>
    <row r="147" spans="4:34" s="16" customFormat="1" ht="11.25" x14ac:dyDescent="0.15">
      <c r="G147" s="16" t="s">
        <v>88</v>
      </c>
    </row>
    <row r="148" spans="4:34" s="16" customFormat="1" ht="11.25" x14ac:dyDescent="0.15"/>
    <row r="149" spans="4:34" s="16" customFormat="1" ht="11.25" x14ac:dyDescent="0.15">
      <c r="E149" s="17" t="str">
        <f>$D$25&amp;"3."</f>
        <v>6.2.2.3.</v>
      </c>
      <c r="F149" s="16" t="s">
        <v>99</v>
      </c>
    </row>
    <row r="150" spans="4:34" s="16" customFormat="1" ht="11.25" x14ac:dyDescent="0.15">
      <c r="F150" s="4" t="s">
        <v>125</v>
      </c>
    </row>
    <row r="151" spans="4:34" s="16" customFormat="1" ht="11.25" x14ac:dyDescent="0.15">
      <c r="F151" s="4" t="s">
        <v>126</v>
      </c>
    </row>
    <row r="152" spans="4:34" s="16" customFormat="1" ht="11.25" x14ac:dyDescent="0.15">
      <c r="F152" s="4" t="s">
        <v>100</v>
      </c>
    </row>
    <row r="153" spans="4:34" s="16" customFormat="1" ht="11.25" x14ac:dyDescent="0.15">
      <c r="F153" s="4" t="s">
        <v>101</v>
      </c>
    </row>
    <row r="154" spans="4:34" s="16" customFormat="1" ht="11.25" x14ac:dyDescent="0.15">
      <c r="F154" s="4" t="s">
        <v>102</v>
      </c>
    </row>
    <row r="155" spans="4:34" s="16" customFormat="1" ht="11.25" x14ac:dyDescent="0.15"/>
    <row r="156" spans="4:34" s="16" customFormat="1" ht="11.25" x14ac:dyDescent="0.15">
      <c r="D156" s="15" t="str">
        <f>$C$7&amp;"3."</f>
        <v>6.2.3.</v>
      </c>
      <c r="E156" s="16" t="s">
        <v>103</v>
      </c>
    </row>
    <row r="157" spans="4:34" s="16" customFormat="1" ht="11.25" customHeight="1" x14ac:dyDescent="0.15">
      <c r="E157" s="16" t="s">
        <v>104</v>
      </c>
    </row>
    <row r="158" spans="4:34" s="16" customFormat="1" ht="11.25" x14ac:dyDescent="0.15">
      <c r="D158" s="15"/>
    </row>
    <row r="159" spans="4:34" s="16" customFormat="1" ht="11.25" x14ac:dyDescent="0.15"/>
    <row r="160" spans="4:34" s="16" customFormat="1" ht="11.25" x14ac:dyDescent="0.15">
      <c r="D160" s="15" t="str">
        <f>$C$7&amp;"4."</f>
        <v>6.2.4.</v>
      </c>
      <c r="E160" s="42" t="s">
        <v>105</v>
      </c>
    </row>
    <row r="161" spans="4:6" s="16" customFormat="1" ht="11.25" x14ac:dyDescent="0.15">
      <c r="E161" s="16" t="s">
        <v>106</v>
      </c>
    </row>
    <row r="162" spans="4:6" s="16" customFormat="1" ht="11.25" x14ac:dyDescent="0.15">
      <c r="E162" s="16" t="s">
        <v>107</v>
      </c>
    </row>
    <row r="163" spans="4:6" s="16" customFormat="1" ht="11.25" x14ac:dyDescent="0.15">
      <c r="E163" s="16" t="s">
        <v>108</v>
      </c>
    </row>
    <row r="164" spans="4:6" s="16" customFormat="1" ht="11.25" x14ac:dyDescent="0.15">
      <c r="E164" s="16" t="s">
        <v>109</v>
      </c>
    </row>
    <row r="165" spans="4:6" s="16" customFormat="1" ht="11.25" x14ac:dyDescent="0.15"/>
    <row r="166" spans="4:6" s="16" customFormat="1" ht="11.25" x14ac:dyDescent="0.15">
      <c r="D166" s="15" t="str">
        <f>$C$7&amp;"5."</f>
        <v>6.2.5.</v>
      </c>
      <c r="E166" s="16" t="s">
        <v>110</v>
      </c>
    </row>
    <row r="167" spans="4:6" s="16" customFormat="1" ht="11.25" x14ac:dyDescent="0.15">
      <c r="E167" s="16" t="s">
        <v>111</v>
      </c>
    </row>
    <row r="168" spans="4:6" s="16" customFormat="1" ht="11.25" x14ac:dyDescent="0.15"/>
    <row r="169" spans="4:6" s="16" customFormat="1" ht="11.25" x14ac:dyDescent="0.15">
      <c r="E169" s="17" t="s">
        <v>112</v>
      </c>
      <c r="F169" s="16" t="s">
        <v>113</v>
      </c>
    </row>
    <row r="170" spans="4:6" s="16" customFormat="1" ht="11.25" x14ac:dyDescent="0.15">
      <c r="F170" s="16" t="s">
        <v>114</v>
      </c>
    </row>
    <row r="171" spans="4:6" s="16" customFormat="1" ht="11.25" x14ac:dyDescent="0.15"/>
    <row r="172" spans="4:6" s="16" customFormat="1" ht="11.25" x14ac:dyDescent="0.15"/>
    <row r="173" spans="4:6" s="16" customFormat="1" ht="11.25" x14ac:dyDescent="0.15"/>
    <row r="174" spans="4:6" ht="11.25" customHeight="1" x14ac:dyDescent="0.15">
      <c r="D174" s="16"/>
    </row>
    <row r="175" spans="4:6" ht="11.25" customHeight="1" x14ac:dyDescent="0.15"/>
    <row r="176" spans="4: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4"/>
  <pageMargins left="0.7" right="0.7" top="0.75" bottom="0.75" header="0.3" footer="0.3"/>
  <pageSetup paperSize="9" fitToHeight="0" orientation="landscape" r:id="rId1"/>
  <rowBreaks count="3" manualBreakCount="3">
    <brk id="24" max="34" man="1"/>
    <brk id="42" max="34" man="1"/>
    <brk id="79"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6.2.ファイル転送（配信）</vt:lpstr>
      <vt:lpstr>'6.2.ファイル転送（配信）'!Print_Area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2025-04-21T02:07:37Z</dcterms:created>
  <dcterms:modified xsi:type="dcterms:W3CDTF">2025-04-21T02:07:45Z</dcterms:modified>
  <cp:category/>
  <cp:contentStatus/>
</cp:coreProperties>
</file>