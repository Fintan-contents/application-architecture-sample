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filterPrivacy="1" codeName="ThisWorkbook"/>
  <xr:revisionPtr revIDLastSave="0" documentId="13_ncr:1_{9CF808AF-2748-495A-9460-8E2F8ECBF0D3}" xr6:coauthVersionLast="47" xr6:coauthVersionMax="47" xr10:uidLastSave="{00000000-0000-0000-0000-000000000000}"/>
  <bookViews>
    <workbookView xWindow="1245" yWindow="-120" windowWidth="27675" windowHeight="16440" xr2:uid="{00000000-000D-0000-FFFF-FFFF00000000}"/>
  </bookViews>
  <sheets>
    <sheet name="6.3.メール送信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7" i="3" l="1"/>
  <c r="F75" i="3"/>
  <c r="F55" i="3"/>
  <c r="F84" i="3"/>
  <c r="F81" i="3"/>
  <c r="E23" i="3"/>
  <c r="F24" i="3" s="1"/>
  <c r="F36" i="3"/>
  <c r="F38" i="3"/>
  <c r="F37" i="3"/>
  <c r="D100" i="3" l="1"/>
  <c r="D108" i="3"/>
  <c r="D104" i="3"/>
  <c r="D74" i="3"/>
  <c r="E75" i="3" s="1"/>
  <c r="D80" i="3"/>
  <c r="D9" i="3"/>
  <c r="D54" i="3"/>
  <c r="E55" i="3" s="1"/>
  <c r="D23" i="3"/>
  <c r="E84" i="3" l="1"/>
  <c r="E81" i="3"/>
  <c r="E24" i="3"/>
  <c r="E47" i="3"/>
</calcChain>
</file>

<file path=xl/sharedStrings.xml><?xml version="1.0" encoding="utf-8"?>
<sst xmlns="http://schemas.openxmlformats.org/spreadsheetml/2006/main" count="118" uniqueCount="112">
  <si>
    <t>工程</t>
    <rPh sb="0" eb="2">
      <t>コウテイ</t>
    </rPh>
    <phoneticPr fontId="5"/>
  </si>
  <si>
    <t>作成</t>
    <phoneticPr fontId="5"/>
  </si>
  <si>
    <t>システム名</t>
  </si>
  <si>
    <t>アプリケーション方式設計書</t>
  </si>
  <si>
    <t>変更</t>
    <phoneticPr fontId="5"/>
  </si>
  <si>
    <t>サブシステム名</t>
  </si>
  <si>
    <t>確認</t>
    <phoneticPr fontId="5"/>
  </si>
  <si>
    <t>特徴</t>
  </si>
  <si>
    <t>上記の特徴を踏まえ、本システムでの選択基準を以下に示す。</t>
    <phoneticPr fontId="2"/>
  </si>
  <si>
    <t>方針</t>
  </si>
  <si>
    <t>理由</t>
    <rPh sb="0" eb="2">
      <t>リユウ</t>
    </rPh>
    <phoneticPr fontId="2"/>
  </si>
  <si>
    <t>成果物名</t>
    <phoneticPr fontId="5"/>
  </si>
  <si>
    <t>方法</t>
    <rPh sb="0" eb="2">
      <t>ホウホウ</t>
    </rPh>
    <phoneticPr fontId="2"/>
  </si>
  <si>
    <t>使用する</t>
    <rPh sb="0" eb="2">
      <t>シヨウ</t>
    </rPh>
    <phoneticPr fontId="2"/>
  </si>
  <si>
    <t>6.</t>
    <phoneticPr fontId="2"/>
  </si>
  <si>
    <t>出力処理方式</t>
    <rPh sb="0" eb="6">
      <t>シュツリョクショリホウシキ</t>
    </rPh>
    <phoneticPr fontId="2"/>
  </si>
  <si>
    <t>メール送信</t>
    <rPh sb="3" eb="5">
      <t>ソウシン</t>
    </rPh>
    <phoneticPr fontId="2"/>
  </si>
  <si>
    <t>・業務アプリケーションは、メール送信処理を業務処理のDBトランザクションに含めることができる。</t>
  </si>
  <si>
    <t>・メールサーバ障害やネットワーク障害によりメール送信が遅延もしくは失敗しても、業務処理への影響を与えないようにすることができる。</t>
  </si>
  <si>
    <t>メールマガジンやダイレクトメール等、不特定多数に対する大量送信は想定していない。</t>
  </si>
  <si>
    <t>業務処理とは非同期にメール送信を行う。その理由は以下の通り。</t>
  </si>
  <si>
    <t>メール送信処理はNablarchのメール送信機能により実現され、常駐バッチによるディレード処理を経由し、</t>
    <phoneticPr fontId="2"/>
  </si>
  <si>
    <t>本出力処理方式によるメール送信の用途は、システムのエンドユーザに対する通知メールを想定している。</t>
  </si>
  <si>
    <t>定型メール送信</t>
    <phoneticPr fontId="2"/>
  </si>
  <si>
    <t>非定型メール送信</t>
    <phoneticPr fontId="2"/>
  </si>
  <si>
    <t>メールテンプレート</t>
    <phoneticPr fontId="2"/>
  </si>
  <si>
    <t>メールフォーマット</t>
    <phoneticPr fontId="2"/>
  </si>
  <si>
    <t>Content-Type</t>
  </si>
  <si>
    <t>メール送信機能でプレースホルダを業務アプリケーションから指定された文字列に置き換える。</t>
  </si>
  <si>
    <t>メール送信を行う機能には、以下の方法がある。</t>
    <phoneticPr fontId="2"/>
  </si>
  <si>
    <t>業務アプリケーション向け公開API</t>
    <rPh sb="0" eb="2">
      <t>ギョウム</t>
    </rPh>
    <rPh sb="10" eb="11">
      <t>ム</t>
    </rPh>
    <rPh sb="12" eb="14">
      <t>コウカイ</t>
    </rPh>
    <phoneticPr fontId="2"/>
  </si>
  <si>
    <t>エラー処理</t>
    <rPh sb="3" eb="5">
      <t>ショリ</t>
    </rPh>
    <phoneticPr fontId="2"/>
  </si>
  <si>
    <t>エラー内容に応じた例外（業務エラー／システムエラー）を業務アプリケーションに送出する。</t>
    <rPh sb="3" eb="5">
      <t>ナイヨウ</t>
    </rPh>
    <rPh sb="6" eb="7">
      <t>オウ</t>
    </rPh>
    <rPh sb="9" eb="11">
      <t>レイガイ</t>
    </rPh>
    <rPh sb="12" eb="14">
      <t>ギョウム</t>
    </rPh>
    <rPh sb="27" eb="29">
      <t>ギョウム</t>
    </rPh>
    <rPh sb="38" eb="40">
      <t>ソウシュツ</t>
    </rPh>
    <phoneticPr fontId="2"/>
  </si>
  <si>
    <t>種別</t>
    <rPh sb="0" eb="2">
      <t>シュベツ</t>
    </rPh>
    <phoneticPr fontId="2"/>
  </si>
  <si>
    <t>業務エラー</t>
    <rPh sb="0" eb="2">
      <t>ギョウム</t>
    </rPh>
    <phoneticPr fontId="2"/>
  </si>
  <si>
    <t>システムエラー</t>
    <phoneticPr fontId="2"/>
  </si>
  <si>
    <t>エラー</t>
    <phoneticPr fontId="2"/>
  </si>
  <si>
    <t>メール送信要求精査エラー</t>
    <rPh sb="3" eb="7">
      <t>ソウシンヨウキュウ</t>
    </rPh>
    <rPh sb="7" eb="9">
      <t>セイサ</t>
    </rPh>
    <phoneticPr fontId="2"/>
  </si>
  <si>
    <t>メールデータ作成エラー</t>
    <rPh sb="6" eb="8">
      <t>サクセイ</t>
    </rPh>
    <phoneticPr fontId="2"/>
  </si>
  <si>
    <t>メール送信要求登録エラー</t>
    <rPh sb="3" eb="7">
      <t>ソウシンヨウキュウ</t>
    </rPh>
    <rPh sb="7" eb="9">
      <t>トウロク</t>
    </rPh>
    <phoneticPr fontId="2"/>
  </si>
  <si>
    <t>内容</t>
    <rPh sb="0" eb="2">
      <t>ナイヨウ</t>
    </rPh>
    <phoneticPr fontId="2"/>
  </si>
  <si>
    <t>件名・本文の文字数制限超過</t>
    <rPh sb="0" eb="2">
      <t>ケンメイ</t>
    </rPh>
    <rPh sb="3" eb="5">
      <t>ホンブン</t>
    </rPh>
    <rPh sb="6" eb="9">
      <t>モジスウ</t>
    </rPh>
    <rPh sb="9" eb="11">
      <t>セイゲン</t>
    </rPh>
    <rPh sb="11" eb="13">
      <t>チョウカ</t>
    </rPh>
    <phoneticPr fontId="2"/>
  </si>
  <si>
    <t>リトライ方針</t>
    <rPh sb="4" eb="6">
      <t>ホウシン</t>
    </rPh>
    <phoneticPr fontId="2"/>
  </si>
  <si>
    <t>業務アプリケーションから再実行する。</t>
    <rPh sb="0" eb="2">
      <t>ギョウム</t>
    </rPh>
    <rPh sb="12" eb="15">
      <t>サイジッコウ</t>
    </rPh>
    <phoneticPr fontId="2"/>
  </si>
  <si>
    <t>障害復旧後に業務アプリケーションから再実行する。</t>
    <rPh sb="0" eb="2">
      <t>ショウガイ</t>
    </rPh>
    <rPh sb="2" eb="4">
      <t>フッキュウ</t>
    </rPh>
    <rPh sb="4" eb="5">
      <t>ゴ</t>
    </rPh>
    <rPh sb="6" eb="8">
      <t>ギョウム</t>
    </rPh>
    <rPh sb="18" eb="21">
      <t>サイジッコウ</t>
    </rPh>
    <phoneticPr fontId="2"/>
  </si>
  <si>
    <t>メール送信要求時のエラー、リトライ方針は、以下の通りである。</t>
    <rPh sb="21" eb="23">
      <t>イカ</t>
    </rPh>
    <rPh sb="24" eb="25">
      <t>トオ</t>
    </rPh>
    <phoneticPr fontId="2"/>
  </si>
  <si>
    <t>メール送信時のエラー、リトライ方針は、以下の通りである。</t>
    <rPh sb="19" eb="21">
      <t>イカ</t>
    </rPh>
    <rPh sb="22" eb="23">
      <t>トオ</t>
    </rPh>
    <phoneticPr fontId="2"/>
  </si>
  <si>
    <t>メール送信エラー</t>
    <rPh sb="3" eb="5">
      <t>ソウシン</t>
    </rPh>
    <phoneticPr fontId="2"/>
  </si>
  <si>
    <t>メール送信履歴更新エラー</t>
    <rPh sb="3" eb="5">
      <t>ソウシン</t>
    </rPh>
    <rPh sb="5" eb="7">
      <t>リレキ</t>
    </rPh>
    <rPh sb="7" eb="9">
      <t>コウシン</t>
    </rPh>
    <phoneticPr fontId="2"/>
  </si>
  <si>
    <t>JavaMailAPI実行時エラー</t>
    <rPh sb="11" eb="13">
      <t>ジッコウ</t>
    </rPh>
    <rPh sb="13" eb="14">
      <t>ジ</t>
    </rPh>
    <phoneticPr fontId="2"/>
  </si>
  <si>
    <t>次のメールを送信する。</t>
    <rPh sb="0" eb="1">
      <t>ツギ</t>
    </rPh>
    <rPh sb="6" eb="8">
      <t>ソウシン</t>
    </rPh>
    <phoneticPr fontId="2"/>
  </si>
  <si>
    <t>二重送信を防止するため、リトライは行わない。</t>
    <rPh sb="0" eb="2">
      <t>ニジュウ</t>
    </rPh>
    <rPh sb="2" eb="4">
      <t>ソウシン</t>
    </rPh>
    <rPh sb="5" eb="7">
      <t>ボウシ</t>
    </rPh>
    <rPh sb="17" eb="18">
      <t>オコナ</t>
    </rPh>
    <phoneticPr fontId="2"/>
  </si>
  <si>
    <t>存在しない</t>
  </si>
  <si>
    <t>対象</t>
    <rPh sb="0" eb="2">
      <t>タイショウ</t>
    </rPh>
    <phoneticPr fontId="2"/>
  </si>
  <si>
    <t>指定されたテンプレートが</t>
    <rPh sb="0" eb="2">
      <t>シテイ</t>
    </rPh>
    <phoneticPr fontId="2"/>
  </si>
  <si>
    <t>処理方式概要</t>
    <rPh sb="0" eb="4">
      <t>ショリホウシキ</t>
    </rPh>
    <rPh sb="4" eb="6">
      <t>ガイヨウ</t>
    </rPh>
    <phoneticPr fontId="2"/>
  </si>
  <si>
    <t>メールフォーマット</t>
    <phoneticPr fontId="2"/>
  </si>
  <si>
    <t>理由</t>
    <rPh sb="0" eb="2">
      <t>リユウ</t>
    </rPh>
    <phoneticPr fontId="2"/>
  </si>
  <si>
    <t>要件のため。</t>
    <rPh sb="0" eb="2">
      <t>ヨウケン</t>
    </rPh>
    <phoneticPr fontId="2"/>
  </si>
  <si>
    <t>プロジェクト名</t>
    <phoneticPr fontId="3"/>
  </si>
  <si>
    <t>文字コード</t>
    <rPh sb="0" eb="2">
      <t>モジ</t>
    </rPh>
    <phoneticPr fontId="2"/>
  </si>
  <si>
    <t>メールの文字コードは「UTF-8」を使用する。</t>
    <rPh sb="4" eb="6">
      <t>モジ</t>
    </rPh>
    <rPh sb="18" eb="20">
      <t>シヨウ</t>
    </rPh>
    <phoneticPr fontId="2"/>
  </si>
  <si>
    <t>大量送信は専用の一斉メールを行うサービスを利用する。</t>
    <rPh sb="8" eb="10">
      <t>イッセイ</t>
    </rPh>
    <rPh sb="14" eb="15">
      <t>オコナ</t>
    </rPh>
    <rPh sb="21" eb="23">
      <t>リヨウ</t>
    </rPh>
    <phoneticPr fontId="2"/>
  </si>
  <si>
    <t>送信履歴</t>
    <rPh sb="0" eb="2">
      <t>ソウシン</t>
    </rPh>
    <rPh sb="2" eb="4">
      <t>リレキ</t>
    </rPh>
    <phoneticPr fontId="2"/>
  </si>
  <si>
    <t>DBに送信履歴を保管する。定期的にバッチでクリーニングする。</t>
    <rPh sb="3" eb="5">
      <t>ソウシン</t>
    </rPh>
    <rPh sb="5" eb="7">
      <t>リレキ</t>
    </rPh>
    <rPh sb="8" eb="10">
      <t>ホカン</t>
    </rPh>
    <phoneticPr fontId="2"/>
  </si>
  <si>
    <t>送信履歴テーブルへの登録失敗</t>
    <rPh sb="10" eb="12">
      <t>トウロク</t>
    </rPh>
    <rPh sb="12" eb="14">
      <t>シッパイ</t>
    </rPh>
    <phoneticPr fontId="2"/>
  </si>
  <si>
    <t>送信履歴テーブルへの更新失敗</t>
    <rPh sb="10" eb="12">
      <t>コウシン</t>
    </rPh>
    <rPh sb="12" eb="14">
      <t>シッパイ</t>
    </rPh>
    <phoneticPr fontId="2"/>
  </si>
  <si>
    <t>使用しない</t>
    <rPh sb="0" eb="2">
      <t>シヨウ</t>
    </rPh>
    <phoneticPr fontId="2"/>
  </si>
  <si>
    <t>要件がないため。</t>
    <rPh sb="0" eb="2">
      <t>ヨウケン</t>
    </rPh>
    <phoneticPr fontId="2"/>
  </si>
  <si>
    <t>メール送信のパターン</t>
    <rPh sb="3" eb="5">
      <t>ソウシン</t>
    </rPh>
    <phoneticPr fontId="2"/>
  </si>
  <si>
    <t>メール送信パターン</t>
    <rPh sb="3" eb="5">
      <t>ソウシン</t>
    </rPh>
    <phoneticPr fontId="2"/>
  </si>
  <si>
    <t>Nablarchではメール送信パターンIDを定義することで、 メール送信要求テーブルから未送信のデータをパターン毎に抽出することができる。</t>
    <rPh sb="13" eb="15">
      <t>ソウシン</t>
    </rPh>
    <rPh sb="22" eb="24">
      <t>テイギ</t>
    </rPh>
    <rPh sb="56" eb="57">
      <t>ゴト</t>
    </rPh>
    <phoneticPr fontId="2"/>
  </si>
  <si>
    <t>メール送信パターンIDを使用するケースとして、パターンに応じて送信間隔を定義することでメール毎に優先度を設けるケースが考えられる。</t>
    <rPh sb="3" eb="5">
      <t>ソウシン</t>
    </rPh>
    <rPh sb="12" eb="14">
      <t>シヨウ</t>
    </rPh>
    <rPh sb="28" eb="29">
      <t>オウ</t>
    </rPh>
    <rPh sb="31" eb="33">
      <t>ソウシン</t>
    </rPh>
    <rPh sb="33" eb="35">
      <t>カンカク</t>
    </rPh>
    <rPh sb="36" eb="38">
      <t>テイギ</t>
    </rPh>
    <rPh sb="46" eb="47">
      <t>ゴト</t>
    </rPh>
    <rPh sb="48" eb="51">
      <t>ユウセンド</t>
    </rPh>
    <rPh sb="52" eb="53">
      <t>モウ</t>
    </rPh>
    <rPh sb="59" eb="60">
      <t>カンガ</t>
    </rPh>
    <phoneticPr fontId="2"/>
  </si>
  <si>
    <t>メール送信パターンIDの数に応じたメール送信バッチを起動して処理を行う。</t>
    <rPh sb="3" eb="5">
      <t>ソウシン</t>
    </rPh>
    <rPh sb="12" eb="13">
      <t>カズ</t>
    </rPh>
    <rPh sb="14" eb="15">
      <t>オウ</t>
    </rPh>
    <rPh sb="20" eb="22">
      <t>ソウシン</t>
    </rPh>
    <rPh sb="26" eb="28">
      <t>キドウ</t>
    </rPh>
    <rPh sb="30" eb="32">
      <t>ショリ</t>
    </rPh>
    <rPh sb="33" eb="34">
      <t>オコナ</t>
    </rPh>
    <phoneticPr fontId="2"/>
  </si>
  <si>
    <t>要件定義</t>
    <rPh sb="0" eb="2">
      <t>ヨウケン</t>
    </rPh>
    <rPh sb="2" eb="4">
      <t>テイギ</t>
    </rPh>
    <phoneticPr fontId="2"/>
  </si>
  <si>
    <t>HTML形式</t>
    <rPh sb="4" eb="6">
      <t>ケイシキ</t>
    </rPh>
    <phoneticPr fontId="2"/>
  </si>
  <si>
    <t>メールの送信頻度の違いを考慮し、会員WEBと管理者WEBでメール送信パターンを分ける。</t>
    <rPh sb="16" eb="18">
      <t>カイイン</t>
    </rPh>
    <rPh sb="22" eb="25">
      <t>カンリシャ</t>
    </rPh>
    <rPh sb="32" eb="34">
      <t>ソウシン</t>
    </rPh>
    <rPh sb="39" eb="40">
      <t>ワ</t>
    </rPh>
    <phoneticPr fontId="2"/>
  </si>
  <si>
    <t>管理者</t>
    <rPh sb="0" eb="3">
      <t>カンリシャ</t>
    </rPh>
    <phoneticPr fontId="2"/>
  </si>
  <si>
    <t>会員</t>
    <rPh sb="0" eb="2">
      <t>カイイン</t>
    </rPh>
    <phoneticPr fontId="2"/>
  </si>
  <si>
    <t>メール送信パターンNo</t>
    <rPh sb="3" eb="5">
      <t>ソウシン</t>
    </rPh>
    <phoneticPr fontId="2"/>
  </si>
  <si>
    <t>①</t>
    <phoneticPr fontId="2"/>
  </si>
  <si>
    <t>Thymeleafアダプタ</t>
    <phoneticPr fontId="2"/>
  </si>
  <si>
    <t>FreeMakerアダプタ</t>
    <phoneticPr fontId="2"/>
  </si>
  <si>
    <t>Velocityアダプタ</t>
    <phoneticPr fontId="2"/>
  </si>
  <si>
    <t>②</t>
    <phoneticPr fontId="2"/>
  </si>
  <si>
    <t>③</t>
    <phoneticPr fontId="2"/>
  </si>
  <si>
    <t>本システムではHTML形式のメールを送信する要件があるため、テンプレートをそのままブラウザで開いてスタイルの確認が可能な</t>
    <rPh sb="0" eb="1">
      <t>ホン</t>
    </rPh>
    <rPh sb="11" eb="13">
      <t>ケイシキ</t>
    </rPh>
    <rPh sb="18" eb="20">
      <t>ソウシン</t>
    </rPh>
    <rPh sb="22" eb="24">
      <t>ヨウケン</t>
    </rPh>
    <rPh sb="46" eb="47">
      <t>ヒラ</t>
    </rPh>
    <rPh sb="54" eb="56">
      <t>カクニン</t>
    </rPh>
    <rPh sb="57" eb="59">
      <t>カノウ</t>
    </rPh>
    <phoneticPr fontId="2"/>
  </si>
  <si>
    <t>Thymeleafアダプタを採用する。</t>
    <rPh sb="14" eb="16">
      <t>サイヨウ</t>
    </rPh>
    <phoneticPr fontId="2"/>
  </si>
  <si>
    <t>送信頻度</t>
    <rPh sb="0" eb="4">
      <t>ソウシンヒンド</t>
    </rPh>
    <phoneticPr fontId="2"/>
  </si>
  <si>
    <t>1分に1回</t>
    <rPh sb="1" eb="2">
      <t>フン</t>
    </rPh>
    <rPh sb="4" eb="5">
      <t>カイ</t>
    </rPh>
    <phoneticPr fontId="2"/>
  </si>
  <si>
    <t>15分に1回</t>
    <rPh sb="2" eb="3">
      <t>フン</t>
    </rPh>
    <rPh sb="5" eb="6">
      <t>カイ</t>
    </rPh>
    <phoneticPr fontId="2"/>
  </si>
  <si>
    <t>メールの件名、本文は業務アプリケーションから任意に指定出来る。</t>
  </si>
  <si>
    <t>件名、本文はメールテンプレート管理TBLに予め登録されたテンプレートを使用する。</t>
  </si>
  <si>
    <t>テンプレートにはプレースホルダ（置換箇所）を用意する。メールデータ作成時に、</t>
  </si>
  <si>
    <t>また、本システムでは以下のようにメール送信の方針を定める。</t>
    <rPh sb="3" eb="4">
      <t>ホン</t>
    </rPh>
    <rPh sb="10" eb="12">
      <t>イカ</t>
    </rPh>
    <rPh sb="19" eb="21">
      <t>ソウシン</t>
    </rPh>
    <rPh sb="22" eb="24">
      <t>ホウシン</t>
    </rPh>
    <rPh sb="25" eb="26">
      <t>サダ</t>
    </rPh>
    <phoneticPr fontId="2"/>
  </si>
  <si>
    <t>・送信先（To、Cc、Bcc）は業務アプリケーションから任意に指定できることとする</t>
    <phoneticPr fontId="2"/>
  </si>
  <si>
    <t>・宛先数の合計の制限値を設ける。To、Cc、Bccの合計で100個までとする</t>
    <phoneticPr fontId="2"/>
  </si>
  <si>
    <t>・メール1通当たりの添付ファイルのサイズ上限値を設ける。上限値は2MByteとする</t>
    <phoneticPr fontId="2"/>
  </si>
  <si>
    <t>・添付ファイルの暗号化は行わないものとする</t>
    <phoneticPr fontId="2"/>
  </si>
  <si>
    <t>文面の一部だけを変更して送信するメールの要件が存在するため。</t>
    <rPh sb="0" eb="2">
      <t>ブンメン</t>
    </rPh>
    <rPh sb="3" eb="5">
      <t>イチブ</t>
    </rPh>
    <rPh sb="8" eb="10">
      <t>ヘンコウ</t>
    </rPh>
    <rPh sb="12" eb="14">
      <t>ソウシン</t>
    </rPh>
    <rPh sb="20" eb="22">
      <t>ヨウケン</t>
    </rPh>
    <rPh sb="23" eb="25">
      <t>ソンザイ</t>
    </rPh>
    <phoneticPr fontId="2"/>
  </si>
  <si>
    <t>本処理方式では、本システムから出力するメール送信処理を対象とする。</t>
    <phoneticPr fontId="2"/>
  </si>
  <si>
    <t>送信時に不達となったメールを特定する処理は対象外とする。</t>
    <rPh sb="21" eb="24">
      <t>タイショウガイ</t>
    </rPh>
    <phoneticPr fontId="2"/>
  </si>
  <si>
    <t>常駐バッチによって処理されるメール送信要求の登録は、Nablarchが提供する公開APIを用いて行う。</t>
    <rPh sb="0" eb="2">
      <t>ジョウチュウ</t>
    </rPh>
    <rPh sb="9" eb="11">
      <t>ショリ</t>
    </rPh>
    <rPh sb="17" eb="21">
      <t>ソウシンヨウキュウ</t>
    </rPh>
    <rPh sb="22" eb="24">
      <t>トウロク</t>
    </rPh>
    <rPh sb="35" eb="37">
      <t>テイキョウ</t>
    </rPh>
    <rPh sb="39" eb="41">
      <t>コウカイ</t>
    </rPh>
    <rPh sb="45" eb="46">
      <t>モチ</t>
    </rPh>
    <rPh sb="48" eb="49">
      <t>オコナ</t>
    </rPh>
    <phoneticPr fontId="2"/>
  </si>
  <si>
    <t>公開APIについては、下記解説書を参照。</t>
    <rPh sb="0" eb="2">
      <t>コウカイ</t>
    </rPh>
    <rPh sb="11" eb="13">
      <t>カキ</t>
    </rPh>
    <rPh sb="13" eb="16">
      <t>カイセツショ</t>
    </rPh>
    <rPh sb="17" eb="19">
      <t>サンショウ</t>
    </rPh>
    <phoneticPr fontId="2"/>
  </si>
  <si>
    <t>・Nablarchが提供する簡易なテンプレート機能</t>
    <rPh sb="10" eb="12">
      <t>テイキョウ</t>
    </rPh>
    <rPh sb="14" eb="16">
      <t>カンイ</t>
    </rPh>
    <rPh sb="23" eb="25">
      <t>キノウ</t>
    </rPh>
    <phoneticPr fontId="2"/>
  </si>
  <si>
    <t>・サードパーティのテンプレートエンジンの機能を利用できるようにするアダプタ</t>
    <rPh sb="20" eb="22">
      <t>キノウ</t>
    </rPh>
    <rPh sb="23" eb="25">
      <t>リヨウ</t>
    </rPh>
    <phoneticPr fontId="2"/>
  </si>
  <si>
    <t>Nablarchには、テンプレートを用いてメールの文面を作成する定型メールの機能が用意されている。</t>
    <rPh sb="18" eb="19">
      <t>モチ</t>
    </rPh>
    <rPh sb="25" eb="27">
      <t>ブンメン</t>
    </rPh>
    <rPh sb="28" eb="30">
      <t>サクセイ</t>
    </rPh>
    <rPh sb="32" eb="34">
      <t>テイケイ</t>
    </rPh>
    <rPh sb="38" eb="40">
      <t>キノウ</t>
    </rPh>
    <rPh sb="41" eb="43">
      <t>ヨウイ</t>
    </rPh>
    <phoneticPr fontId="2"/>
  </si>
  <si>
    <t>Nablarchが提供する簡易なテンプレート機能では、条件分岐や繰り返しの制御構文がサポートされておらず本システムの要件に合わないため、</t>
    <rPh sb="9" eb="11">
      <t>テイキョウ</t>
    </rPh>
    <rPh sb="13" eb="15">
      <t>カンイ</t>
    </rPh>
    <rPh sb="22" eb="24">
      <t>キノウ</t>
    </rPh>
    <rPh sb="27" eb="31">
      <t>ジョウケンブンキ</t>
    </rPh>
    <rPh sb="32" eb="33">
      <t>ク</t>
    </rPh>
    <rPh sb="34" eb="35">
      <t>カエ</t>
    </rPh>
    <rPh sb="37" eb="41">
      <t>セイギョコウブン</t>
    </rPh>
    <rPh sb="52" eb="53">
      <t>ホン</t>
    </rPh>
    <rPh sb="58" eb="60">
      <t>ヨウケン</t>
    </rPh>
    <rPh sb="61" eb="62">
      <t>ア</t>
    </rPh>
    <phoneticPr fontId="2"/>
  </si>
  <si>
    <t>アダプタを使用する方針とする。</t>
    <rPh sb="5" eb="7">
      <t>シヨウ</t>
    </rPh>
    <rPh sb="9" eb="11">
      <t>ホウシン</t>
    </rPh>
    <phoneticPr fontId="2"/>
  </si>
  <si>
    <t>なお、Nablarchではメールテンプレート用のアダプタとして以下を提供している。</t>
    <rPh sb="22" eb="23">
      <t>ヨウ</t>
    </rPh>
    <rPh sb="31" eb="33">
      <t>イカ</t>
    </rPh>
    <rPh sb="34" eb="36">
      <t>テイキョウ</t>
    </rPh>
    <phoneticPr fontId="2"/>
  </si>
  <si>
    <t>そして、テンプレートの処理には大きく以下の2つが用意されている。</t>
    <rPh sb="11" eb="13">
      <t>ショリ</t>
    </rPh>
    <rPh sb="15" eb="16">
      <t>オオ</t>
    </rPh>
    <rPh sb="18" eb="20">
      <t>イカ</t>
    </rPh>
    <rPh sb="24" eb="26">
      <t>ヨウイ</t>
    </rPh>
    <phoneticPr fontId="2"/>
  </si>
  <si>
    <t>https://nablarch.github.io/docs/6u2/doc/application_framework/application_framework/libraries/mail.html#mail-request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</si>
</sst>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8" x14ac:knownFonts="1"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9"/>
      <color theme="1"/>
      <name val="ＭＳ 明朝"/>
      <family val="1"/>
      <charset val="128"/>
    </font>
    <font>
      <sz val="6"/>
      <name val="ＭＳ 明朝"/>
      <family val="1"/>
      <charset val="128"/>
    </font>
    <font>
      <u/>
      <sz val="11"/>
      <color theme="10"/>
      <name val="ＭＳ Ｐゴシック"/>
      <family val="2"/>
      <charset val="128"/>
      <scheme val="minor"/>
    </font>
    <font>
      <u/>
      <sz val="9"/>
      <color theme="10"/>
      <name val="ＭＳ Ｐ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AEEF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1" fillId="0" borderId="0"/>
    <xf numFmtId="0" fontId="1" fillId="0" borderId="0"/>
    <xf numFmtId="0" fontId="1" fillId="0" borderId="0"/>
    <xf numFmtId="0" fontId="6" fillId="0" borderId="0" applyNumberFormat="0" applyFill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2" borderId="1" xfId="1" applyFont="1" applyFill="1" applyBorder="1" applyAlignment="1">
      <alignment vertical="center"/>
    </xf>
    <xf numFmtId="0" fontId="1" fillId="2" borderId="2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4" fillId="0" borderId="0" xfId="0" applyFont="1">
      <alignment vertical="center"/>
    </xf>
    <xf numFmtId="0" fontId="1" fillId="2" borderId="4" xfId="1" applyFont="1" applyFill="1" applyBorder="1" applyAlignment="1">
      <alignment vertical="center"/>
    </xf>
    <xf numFmtId="0" fontId="1" fillId="2" borderId="5" xfId="1" applyFont="1" applyFill="1" applyBorder="1" applyAlignment="1">
      <alignment vertical="center"/>
    </xf>
    <xf numFmtId="0" fontId="1" fillId="2" borderId="6" xfId="1" applyFont="1" applyFill="1" applyBorder="1" applyAlignment="1">
      <alignment vertical="center"/>
    </xf>
    <xf numFmtId="0" fontId="1" fillId="2" borderId="7" xfId="1" applyFont="1" applyFill="1" applyBorder="1" applyAlignment="1">
      <alignment vertical="center"/>
    </xf>
    <xf numFmtId="0" fontId="1" fillId="2" borderId="8" xfId="1" applyFont="1" applyFill="1" applyBorder="1" applyAlignment="1">
      <alignment vertical="center"/>
    </xf>
    <xf numFmtId="0" fontId="1" fillId="2" borderId="2" xfId="1" quotePrefix="1" applyFont="1" applyFill="1" applyBorder="1" applyAlignment="1">
      <alignment vertical="center"/>
    </xf>
    <xf numFmtId="49" fontId="1" fillId="2" borderId="2" xfId="1" applyNumberFormat="1" applyFont="1" applyFill="1" applyBorder="1" applyAlignment="1">
      <alignment vertical="center"/>
    </xf>
    <xf numFmtId="0" fontId="1" fillId="2" borderId="10" xfId="1" applyFont="1" applyFill="1" applyBorder="1" applyAlignment="1">
      <alignment vertical="center"/>
    </xf>
    <xf numFmtId="0" fontId="1" fillId="2" borderId="11" xfId="1" applyFont="1" applyFill="1" applyBorder="1" applyAlignment="1">
      <alignment vertical="center"/>
    </xf>
    <xf numFmtId="0" fontId="1" fillId="2" borderId="12" xfId="1" applyFont="1" applyFill="1" applyBorder="1" applyAlignment="1">
      <alignment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0" xfId="0" quotePrefix="1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4" fillId="3" borderId="5" xfId="0" applyFont="1" applyFill="1" applyBorder="1">
      <alignment vertical="center"/>
    </xf>
    <xf numFmtId="0" fontId="4" fillId="0" borderId="0" xfId="0" applyFont="1" applyFill="1">
      <alignment vertical="center"/>
    </xf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quotePrefix="1" applyFont="1" applyAlignment="1">
      <alignment horizontal="right" vertical="center"/>
    </xf>
    <xf numFmtId="0" fontId="4" fillId="0" borderId="7" xfId="0" applyFont="1" applyBorder="1">
      <alignment vertical="center"/>
    </xf>
    <xf numFmtId="0" fontId="4" fillId="0" borderId="0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12" xfId="0" applyFont="1" applyBorder="1">
      <alignment vertical="center"/>
    </xf>
    <xf numFmtId="0" fontId="4" fillId="3" borderId="1" xfId="0" applyFont="1" applyFill="1" applyBorder="1">
      <alignment vertical="center"/>
    </xf>
    <xf numFmtId="0" fontId="4" fillId="3" borderId="2" xfId="0" applyFont="1" applyFill="1" applyBorder="1">
      <alignment vertical="center"/>
    </xf>
    <xf numFmtId="0" fontId="4" fillId="3" borderId="3" xfId="0" applyFont="1" applyFill="1" applyBorder="1">
      <alignment vertical="center"/>
    </xf>
    <xf numFmtId="0" fontId="0" fillId="0" borderId="0" xfId="0" applyFill="1">
      <alignment vertical="center"/>
    </xf>
    <xf numFmtId="0" fontId="4" fillId="0" borderId="1" xfId="0" applyFont="1" applyBorder="1">
      <alignment vertical="center"/>
    </xf>
    <xf numFmtId="0" fontId="4" fillId="0" borderId="2" xfId="0" applyFont="1" applyBorder="1">
      <alignment vertical="center"/>
    </xf>
    <xf numFmtId="0" fontId="4" fillId="0" borderId="3" xfId="0" applyFont="1" applyBorder="1">
      <alignment vertical="center"/>
    </xf>
    <xf numFmtId="0" fontId="1" fillId="0" borderId="0" xfId="0" applyFont="1">
      <alignment vertical="center"/>
    </xf>
    <xf numFmtId="0" fontId="1" fillId="0" borderId="0" xfId="0" quotePrefix="1" applyFont="1" applyAlignment="1">
      <alignment horizontal="right" vertical="center"/>
    </xf>
    <xf numFmtId="0" fontId="4" fillId="0" borderId="0" xfId="0" applyFont="1" applyFill="1" applyBorder="1">
      <alignment vertical="center"/>
    </xf>
    <xf numFmtId="0" fontId="4" fillId="0" borderId="8" xfId="0" applyFont="1" applyFill="1" applyBorder="1">
      <alignment vertical="center"/>
    </xf>
    <xf numFmtId="0" fontId="4" fillId="0" borderId="0" xfId="0" quotePrefix="1" applyFont="1" applyFill="1" applyAlignment="1">
      <alignment horizontal="right" vertical="center"/>
    </xf>
    <xf numFmtId="0" fontId="1" fillId="0" borderId="1" xfId="0" applyFont="1" applyFill="1" applyBorder="1">
      <alignment vertical="center"/>
    </xf>
    <xf numFmtId="0" fontId="4" fillId="0" borderId="0" xfId="0" applyFont="1" applyFill="1" applyAlignment="1">
      <alignment horizontal="right" vertical="center"/>
    </xf>
    <xf numFmtId="0" fontId="4" fillId="3" borderId="6" xfId="0" applyFont="1" applyFill="1" applyBorder="1">
      <alignment vertical="center"/>
    </xf>
    <xf numFmtId="0" fontId="1" fillId="0" borderId="2" xfId="0" applyFont="1" applyFill="1" applyBorder="1">
      <alignment vertical="center"/>
    </xf>
    <xf numFmtId="0" fontId="1" fillId="0" borderId="0" xfId="0" applyFont="1" applyFill="1" applyBorder="1">
      <alignment vertical="center"/>
    </xf>
    <xf numFmtId="0" fontId="1" fillId="0" borderId="8" xfId="0" applyFont="1" applyFill="1" applyBorder="1">
      <alignment vertical="center"/>
    </xf>
    <xf numFmtId="0" fontId="1" fillId="0" borderId="3" xfId="0" applyFont="1" applyFill="1" applyBorder="1">
      <alignment vertical="center"/>
    </xf>
    <xf numFmtId="0" fontId="1" fillId="0" borderId="10" xfId="0" applyFont="1" applyFill="1" applyBorder="1">
      <alignment vertical="center"/>
    </xf>
    <xf numFmtId="0" fontId="4" fillId="0" borderId="2" xfId="0" applyFont="1" applyFill="1" applyBorder="1">
      <alignment vertical="center"/>
    </xf>
    <xf numFmtId="0" fontId="4" fillId="0" borderId="3" xfId="0" applyFont="1" applyFill="1" applyBorder="1">
      <alignment vertical="center"/>
    </xf>
    <xf numFmtId="0" fontId="4" fillId="0" borderId="1" xfId="0" applyFont="1" applyFill="1" applyBorder="1">
      <alignment vertical="center"/>
    </xf>
    <xf numFmtId="0" fontId="4" fillId="4" borderId="1" xfId="0" applyFont="1" applyFill="1" applyBorder="1">
      <alignment vertical="center"/>
    </xf>
    <xf numFmtId="0" fontId="4" fillId="4" borderId="2" xfId="0" applyFont="1" applyFill="1" applyBorder="1">
      <alignment vertical="center"/>
    </xf>
    <xf numFmtId="0" fontId="4" fillId="4" borderId="3" xfId="0" applyFont="1" applyFill="1" applyBorder="1">
      <alignment vertical="center"/>
    </xf>
    <xf numFmtId="0" fontId="7" fillId="0" borderId="0" xfId="4" applyFont="1">
      <alignment vertical="center"/>
    </xf>
    <xf numFmtId="176" fontId="1" fillId="0" borderId="1" xfId="3" applyNumberFormat="1" applyFont="1" applyBorder="1" applyAlignment="1">
      <alignment horizontal="right" vertical="center"/>
    </xf>
    <xf numFmtId="176" fontId="1" fillId="0" borderId="2" xfId="3" applyNumberFormat="1" applyFont="1" applyBorder="1" applyAlignment="1">
      <alignment horizontal="right" vertical="center"/>
    </xf>
    <xf numFmtId="176" fontId="1" fillId="0" borderId="3" xfId="3" applyNumberFormat="1" applyFont="1" applyBorder="1" applyAlignment="1">
      <alignment horizontal="right" vertical="center"/>
    </xf>
    <xf numFmtId="0" fontId="4" fillId="0" borderId="1" xfId="2" applyFont="1" applyBorder="1" applyAlignment="1">
      <alignment vertical="center"/>
    </xf>
    <xf numFmtId="0" fontId="4" fillId="0" borderId="2" xfId="2" applyFont="1" applyBorder="1" applyAlignment="1">
      <alignment vertical="center"/>
    </xf>
    <xf numFmtId="0" fontId="4" fillId="0" borderId="3" xfId="2" applyFont="1" applyBorder="1" applyAlignment="1">
      <alignment vertical="center"/>
    </xf>
    <xf numFmtId="0" fontId="4" fillId="0" borderId="1" xfId="1" applyFont="1" applyBorder="1" applyAlignment="1">
      <alignment horizontal="left" vertical="center" wrapText="1"/>
    </xf>
    <xf numFmtId="0" fontId="4" fillId="0" borderId="2" xfId="1" applyFont="1" applyBorder="1" applyAlignment="1">
      <alignment horizontal="left" vertical="center" wrapText="1"/>
    </xf>
    <xf numFmtId="0" fontId="4" fillId="0" borderId="3" xfId="1" applyFont="1" applyBorder="1" applyAlignment="1">
      <alignment horizontal="left" vertical="center" wrapText="1"/>
    </xf>
    <xf numFmtId="14" fontId="1" fillId="0" borderId="1" xfId="1" applyNumberFormat="1" applyFont="1" applyFill="1" applyBorder="1" applyAlignment="1">
      <alignment horizontal="left" vertical="center"/>
    </xf>
    <xf numFmtId="14" fontId="1" fillId="0" borderId="2" xfId="1" applyNumberFormat="1" applyFont="1" applyFill="1" applyBorder="1" applyAlignment="1">
      <alignment horizontal="left" vertical="center"/>
    </xf>
    <xf numFmtId="14" fontId="1" fillId="0" borderId="3" xfId="1" applyNumberFormat="1" applyFont="1" applyFill="1" applyBorder="1" applyAlignment="1">
      <alignment horizontal="left" vertical="center"/>
    </xf>
    <xf numFmtId="0" fontId="4" fillId="0" borderId="1" xfId="2" applyFont="1" applyFill="1" applyBorder="1" applyAlignment="1">
      <alignment vertical="center"/>
    </xf>
    <xf numFmtId="0" fontId="4" fillId="0" borderId="2" xfId="2" applyFont="1" applyFill="1" applyBorder="1" applyAlignment="1">
      <alignment vertical="center"/>
    </xf>
    <xf numFmtId="0" fontId="4" fillId="0" borderId="3" xfId="2" applyFont="1" applyFill="1" applyBorder="1" applyAlignment="1">
      <alignment vertical="center"/>
    </xf>
    <xf numFmtId="0" fontId="4" fillId="0" borderId="4" xfId="1" applyFont="1" applyBorder="1" applyAlignment="1">
      <alignment horizontal="left" vertical="top" wrapText="1"/>
    </xf>
    <xf numFmtId="0" fontId="4" fillId="0" borderId="5" xfId="1" applyFont="1" applyBorder="1" applyAlignment="1">
      <alignment horizontal="left" vertical="top" wrapText="1"/>
    </xf>
    <xf numFmtId="0" fontId="4" fillId="0" borderId="6" xfId="1" applyFont="1" applyBorder="1" applyAlignment="1">
      <alignment horizontal="left" vertical="top" wrapText="1"/>
    </xf>
    <xf numFmtId="0" fontId="4" fillId="0" borderId="10" xfId="1" applyFont="1" applyBorder="1" applyAlignment="1">
      <alignment horizontal="left" vertical="top" wrapText="1"/>
    </xf>
    <xf numFmtId="0" fontId="4" fillId="0" borderId="11" xfId="1" applyFont="1" applyBorder="1" applyAlignment="1">
      <alignment horizontal="left" vertical="top" wrapText="1"/>
    </xf>
    <xf numFmtId="0" fontId="4" fillId="0" borderId="12" xfId="1" applyFont="1" applyBorder="1" applyAlignment="1">
      <alignment horizontal="left" vertical="top" wrapText="1"/>
    </xf>
    <xf numFmtId="0" fontId="4" fillId="0" borderId="9" xfId="2" applyFont="1" applyFill="1" applyBorder="1" applyAlignment="1">
      <alignment horizontal="left" vertical="center"/>
    </xf>
  </cellXfs>
  <cellStyles count="5">
    <cellStyle name="ハイパーリンク" xfId="4" builtinId="8"/>
    <cellStyle name="標準" xfId="0" builtinId="0"/>
    <cellStyle name="標準 3 2 3" xfId="3" xr:uid="{00000000-0005-0000-0000-000001000000}"/>
    <cellStyle name="標準_画面標準" xfId="1" xr:uid="{00000000-0005-0000-0000-000002000000}"/>
    <cellStyle name="標準_画面標準定義" xfId="2" xr:uid="{00000000-0005-0000-0000-000003000000}"/>
  </cellStyles>
  <dxfs count="0"/>
  <tableStyles count="0" defaultTableStyle="TableStyleMedium2" defaultPivotStyle="PivotStyleLight16"/>
  <colors>
    <mruColors>
      <color rgb="FFDAEEF3"/>
      <color rgb="FFCC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nablarch.github.io/docs/6u2/doc/application_framework/application_framework/libraries/mail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I508"/>
  <sheetViews>
    <sheetView showGridLines="0" tabSelected="1" view="pageBreakPreview" zoomScaleNormal="100" zoomScaleSheetLayoutView="100" workbookViewId="0"/>
  </sheetViews>
  <sheetFormatPr defaultColWidth="3.625" defaultRowHeight="14.25" customHeight="1" x14ac:dyDescent="0.15"/>
  <cols>
    <col min="1" max="5" width="3.625" style="4"/>
    <col min="6" max="6" width="3.625" style="4" customWidth="1"/>
    <col min="7" max="16384" width="3.625" style="4"/>
  </cols>
  <sheetData>
    <row r="1" spans="1:35" ht="14.25" customHeight="1" x14ac:dyDescent="0.15">
      <c r="A1" s="1" t="s">
        <v>59</v>
      </c>
      <c r="B1" s="2"/>
      <c r="C1" s="2"/>
      <c r="D1" s="3"/>
      <c r="E1" s="70"/>
      <c r="F1" s="71"/>
      <c r="G1" s="71"/>
      <c r="H1" s="71"/>
      <c r="I1" s="71"/>
      <c r="J1" s="71"/>
      <c r="K1" s="71"/>
      <c r="L1" s="71"/>
      <c r="M1" s="71"/>
      <c r="N1" s="71"/>
      <c r="O1" s="72"/>
      <c r="P1" s="1" t="s">
        <v>0</v>
      </c>
      <c r="Q1" s="2"/>
      <c r="R1" s="73" t="s">
        <v>74</v>
      </c>
      <c r="S1" s="74"/>
      <c r="T1" s="74"/>
      <c r="U1" s="74"/>
      <c r="V1" s="74"/>
      <c r="W1" s="74"/>
      <c r="X1" s="75"/>
      <c r="Y1" s="1" t="s">
        <v>1</v>
      </c>
      <c r="Z1" s="3"/>
      <c r="AA1" s="76"/>
      <c r="AB1" s="77"/>
      <c r="AC1" s="77"/>
      <c r="AD1" s="77"/>
      <c r="AE1" s="78"/>
      <c r="AF1" s="67"/>
      <c r="AG1" s="68"/>
      <c r="AH1" s="68"/>
      <c r="AI1" s="69"/>
    </row>
    <row r="2" spans="1:35" ht="14.25" customHeight="1" x14ac:dyDescent="0.15">
      <c r="A2" s="5" t="s">
        <v>2</v>
      </c>
      <c r="B2" s="6"/>
      <c r="C2" s="6"/>
      <c r="D2" s="7"/>
      <c r="E2" s="79"/>
      <c r="F2" s="80"/>
      <c r="G2" s="80"/>
      <c r="H2" s="80"/>
      <c r="I2" s="80"/>
      <c r="J2" s="80"/>
      <c r="K2" s="80"/>
      <c r="L2" s="80"/>
      <c r="M2" s="80"/>
      <c r="N2" s="80"/>
      <c r="O2" s="81"/>
      <c r="P2" s="8" t="s">
        <v>11</v>
      </c>
      <c r="Q2" s="9"/>
      <c r="R2" s="82" t="s">
        <v>3</v>
      </c>
      <c r="S2" s="83"/>
      <c r="T2" s="83"/>
      <c r="U2" s="83"/>
      <c r="V2" s="83"/>
      <c r="W2" s="83"/>
      <c r="X2" s="84"/>
      <c r="Y2" s="1" t="s">
        <v>4</v>
      </c>
      <c r="Z2" s="3"/>
      <c r="AA2" s="76"/>
      <c r="AB2" s="77"/>
      <c r="AC2" s="77"/>
      <c r="AD2" s="77"/>
      <c r="AE2" s="78"/>
      <c r="AF2" s="67"/>
      <c r="AG2" s="68"/>
      <c r="AH2" s="68"/>
      <c r="AI2" s="69"/>
    </row>
    <row r="3" spans="1:35" ht="14.25" customHeight="1" x14ac:dyDescent="0.15">
      <c r="A3" s="1" t="s">
        <v>5</v>
      </c>
      <c r="B3" s="10"/>
      <c r="C3" s="11"/>
      <c r="D3" s="3"/>
      <c r="E3" s="88"/>
      <c r="F3" s="88"/>
      <c r="G3" s="88"/>
      <c r="H3" s="88"/>
      <c r="I3" s="88"/>
      <c r="J3" s="88"/>
      <c r="K3" s="88"/>
      <c r="L3" s="88"/>
      <c r="M3" s="88"/>
      <c r="N3" s="88"/>
      <c r="O3" s="88"/>
      <c r="P3" s="12"/>
      <c r="Q3" s="13"/>
      <c r="R3" s="85"/>
      <c r="S3" s="86"/>
      <c r="T3" s="86"/>
      <c r="U3" s="86"/>
      <c r="V3" s="86"/>
      <c r="W3" s="86"/>
      <c r="X3" s="87"/>
      <c r="Y3" s="12" t="s">
        <v>6</v>
      </c>
      <c r="Z3" s="14"/>
      <c r="AA3" s="76"/>
      <c r="AB3" s="77"/>
      <c r="AC3" s="77"/>
      <c r="AD3" s="77"/>
      <c r="AE3" s="78"/>
      <c r="AF3" s="67"/>
      <c r="AG3" s="68"/>
      <c r="AH3" s="68"/>
      <c r="AI3" s="69"/>
    </row>
    <row r="4" spans="1:35" ht="11.25" customHeight="1" x14ac:dyDescent="0.15"/>
    <row r="5" spans="1:35" ht="11.25" customHeight="1" x14ac:dyDescent="0.15">
      <c r="B5" s="24" t="s">
        <v>14</v>
      </c>
      <c r="C5" s="4" t="s">
        <v>15</v>
      </c>
    </row>
    <row r="6" spans="1:35" ht="11.25" customHeight="1" x14ac:dyDescent="0.15"/>
    <row r="7" spans="1:35" ht="11.25" customHeight="1" x14ac:dyDescent="0.15">
      <c r="C7" s="24" t="str">
        <f>$B$5&amp;"3."</f>
        <v>6.3.</v>
      </c>
      <c r="D7" s="4" t="s">
        <v>16</v>
      </c>
    </row>
    <row r="8" spans="1:35" ht="11.25" customHeight="1" x14ac:dyDescent="0.15"/>
    <row r="9" spans="1:35" ht="11.25" customHeight="1" x14ac:dyDescent="0.15">
      <c r="D9" s="24" t="str">
        <f>$C$7&amp;"1."</f>
        <v>6.3.1.</v>
      </c>
      <c r="E9" s="4" t="s">
        <v>55</v>
      </c>
    </row>
    <row r="10" spans="1:35" ht="11.25" customHeight="1" x14ac:dyDescent="0.15">
      <c r="D10" s="24"/>
      <c r="E10" s="27" t="s">
        <v>100</v>
      </c>
    </row>
    <row r="11" spans="1:35" s="29" customFormat="1" ht="11.25" customHeight="1" x14ac:dyDescent="0.15">
      <c r="D11" s="30"/>
      <c r="E11" s="27" t="s">
        <v>101</v>
      </c>
    </row>
    <row r="12" spans="1:35" s="29" customFormat="1" ht="11.25" customHeight="1" x14ac:dyDescent="0.15">
      <c r="D12" s="30"/>
      <c r="E12" s="27"/>
    </row>
    <row r="13" spans="1:35" ht="11.25" customHeight="1" x14ac:dyDescent="0.15">
      <c r="D13" s="24"/>
      <c r="E13" s="4" t="s">
        <v>21</v>
      </c>
    </row>
    <row r="14" spans="1:35" ht="11.25" customHeight="1" x14ac:dyDescent="0.15">
      <c r="D14" s="24"/>
      <c r="E14" s="4" t="s">
        <v>20</v>
      </c>
    </row>
    <row r="15" spans="1:35" ht="11.25" customHeight="1" x14ac:dyDescent="0.15">
      <c r="D15" s="51"/>
      <c r="E15" s="27" t="s">
        <v>17</v>
      </c>
      <c r="F15" s="27"/>
      <c r="G15" s="27"/>
      <c r="H15" s="27"/>
      <c r="I15" s="27"/>
      <c r="J15" s="27"/>
      <c r="K15" s="27"/>
    </row>
    <row r="16" spans="1:35" ht="11.25" customHeight="1" x14ac:dyDescent="0.15">
      <c r="D16" s="51"/>
      <c r="E16" s="27" t="s">
        <v>18</v>
      </c>
      <c r="F16" s="27"/>
      <c r="G16" s="27"/>
      <c r="H16" s="27"/>
      <c r="I16" s="27"/>
      <c r="J16" s="27"/>
      <c r="K16" s="27"/>
    </row>
    <row r="17" spans="3:34" s="29" customFormat="1" ht="11.25" customHeight="1" x14ac:dyDescent="0.15">
      <c r="D17" s="51"/>
      <c r="E17" s="27"/>
      <c r="F17" s="27"/>
      <c r="G17" s="27"/>
      <c r="H17" s="27"/>
      <c r="I17" s="27"/>
      <c r="J17" s="27"/>
      <c r="K17" s="27"/>
    </row>
    <row r="18" spans="3:34" s="29" customFormat="1" ht="11.25" customHeight="1" x14ac:dyDescent="0.15">
      <c r="C18" s="27"/>
      <c r="D18" s="27"/>
      <c r="E18" s="27" t="s">
        <v>22</v>
      </c>
      <c r="G18" s="27"/>
      <c r="H18" s="27"/>
      <c r="I18" s="27"/>
      <c r="J18" s="27"/>
      <c r="K18" s="27"/>
    </row>
    <row r="19" spans="3:34" s="29" customFormat="1" ht="11.25" customHeight="1" x14ac:dyDescent="0.15">
      <c r="C19" s="27"/>
      <c r="D19" s="27"/>
      <c r="E19" s="27" t="s">
        <v>19</v>
      </c>
      <c r="G19" s="27"/>
      <c r="H19" s="27"/>
      <c r="I19" s="27"/>
      <c r="J19" s="27"/>
      <c r="K19" s="27"/>
    </row>
    <row r="20" spans="3:34" s="29" customFormat="1" ht="11.25" customHeight="1" x14ac:dyDescent="0.15">
      <c r="C20" s="27"/>
      <c r="D20" s="27"/>
      <c r="E20" s="27" t="s">
        <v>62</v>
      </c>
      <c r="G20" s="27"/>
      <c r="H20" s="27"/>
      <c r="I20" s="27"/>
      <c r="J20" s="27"/>
      <c r="K20" s="27"/>
    </row>
    <row r="21" spans="3:34" s="29" customFormat="1" ht="11.25" customHeight="1" x14ac:dyDescent="0.15">
      <c r="C21" s="27"/>
      <c r="D21" s="27"/>
      <c r="E21" s="27"/>
      <c r="F21" s="27"/>
      <c r="G21" s="27"/>
      <c r="H21" s="27"/>
      <c r="I21" s="27"/>
      <c r="J21" s="27"/>
      <c r="K21" s="27"/>
    </row>
    <row r="22" spans="3:34" s="29" customFormat="1" ht="11.25" customHeight="1" x14ac:dyDescent="0.15">
      <c r="D22" s="27"/>
      <c r="E22" s="27"/>
      <c r="F22" s="27"/>
      <c r="G22" s="27"/>
      <c r="H22" s="27"/>
      <c r="I22" s="27"/>
      <c r="J22" s="27"/>
      <c r="K22" s="27"/>
    </row>
    <row r="23" spans="3:34" ht="11.25" customHeight="1" x14ac:dyDescent="0.15">
      <c r="D23" s="51" t="str">
        <f>$C$7&amp;"2."</f>
        <v>6.3.2.</v>
      </c>
      <c r="E23" s="27" t="str">
        <f>D7&amp;"方式"</f>
        <v>メール送信方式</v>
      </c>
      <c r="F23" s="27"/>
      <c r="G23" s="27"/>
      <c r="H23" s="27"/>
      <c r="I23" s="27"/>
      <c r="J23" s="27"/>
      <c r="K23" s="27"/>
    </row>
    <row r="24" spans="3:34" s="29" customFormat="1" ht="11.25" customHeight="1" x14ac:dyDescent="0.15">
      <c r="D24" s="51"/>
      <c r="E24" s="51" t="str">
        <f>D23&amp;"1."</f>
        <v>6.3.2.1.</v>
      </c>
      <c r="F24" s="27" t="str">
        <f>E23&amp;"概要"</f>
        <v>メール送信方式概要</v>
      </c>
      <c r="G24" s="27"/>
      <c r="H24" s="27"/>
      <c r="I24" s="27"/>
      <c r="J24" s="27"/>
      <c r="K24" s="27"/>
    </row>
    <row r="25" spans="3:34" s="29" customFormat="1" ht="11.25" customHeight="1" x14ac:dyDescent="0.15">
      <c r="D25" s="27"/>
      <c r="E25" s="27"/>
      <c r="F25" s="27" t="s">
        <v>29</v>
      </c>
      <c r="G25" s="27"/>
      <c r="H25" s="27"/>
      <c r="I25" s="27"/>
      <c r="J25" s="27"/>
      <c r="K25" s="27"/>
    </row>
    <row r="26" spans="3:34" s="29" customFormat="1" ht="11.25" customHeight="1" x14ac:dyDescent="0.15">
      <c r="E26" s="30"/>
    </row>
    <row r="27" spans="3:34" ht="11.25" customHeight="1" x14ac:dyDescent="0.15">
      <c r="D27" s="29"/>
      <c r="F27" s="15" t="s">
        <v>12</v>
      </c>
      <c r="G27" s="16"/>
      <c r="H27" s="16"/>
      <c r="I27" s="16"/>
      <c r="J27" s="16"/>
      <c r="K27" s="17"/>
      <c r="L27" s="16" t="s">
        <v>7</v>
      </c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7"/>
    </row>
    <row r="28" spans="3:34" ht="11.25" customHeight="1" x14ac:dyDescent="0.15">
      <c r="D28" s="29"/>
      <c r="F28" s="18" t="s">
        <v>23</v>
      </c>
      <c r="G28" s="19"/>
      <c r="H28" s="19"/>
      <c r="I28" s="19"/>
      <c r="J28" s="19"/>
      <c r="K28" s="19"/>
      <c r="L28" s="18" t="s">
        <v>92</v>
      </c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20"/>
    </row>
    <row r="29" spans="3:34" ht="11.25" customHeight="1" x14ac:dyDescent="0.15">
      <c r="D29" s="29"/>
      <c r="F29" s="21"/>
      <c r="G29" s="22"/>
      <c r="H29" s="22"/>
      <c r="I29" s="22"/>
      <c r="J29" s="22"/>
      <c r="K29" s="22"/>
      <c r="L29" s="21" t="s">
        <v>93</v>
      </c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3"/>
    </row>
    <row r="30" spans="3:34" ht="11.25" customHeight="1" x14ac:dyDescent="0.15">
      <c r="D30" s="29"/>
      <c r="F30" s="21"/>
      <c r="G30" s="22"/>
      <c r="H30" s="22"/>
      <c r="I30" s="22"/>
      <c r="J30" s="22"/>
      <c r="K30" s="22"/>
      <c r="L30" s="21" t="s">
        <v>28</v>
      </c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3"/>
    </row>
    <row r="31" spans="3:34" ht="11.25" customHeight="1" x14ac:dyDescent="0.15">
      <c r="D31" s="29"/>
      <c r="F31" s="21"/>
      <c r="G31" s="22"/>
      <c r="H31" s="22"/>
      <c r="I31" s="22"/>
      <c r="J31" s="22"/>
      <c r="K31" s="22"/>
      <c r="L31" s="21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3"/>
    </row>
    <row r="32" spans="3:34" ht="11.25" customHeight="1" x14ac:dyDescent="0.15">
      <c r="D32" s="29"/>
      <c r="F32" s="36" t="s">
        <v>24</v>
      </c>
      <c r="G32" s="37"/>
      <c r="H32" s="37"/>
      <c r="I32" s="37"/>
      <c r="J32" s="37"/>
      <c r="K32" s="37"/>
      <c r="L32" s="36" t="s">
        <v>91</v>
      </c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8"/>
    </row>
    <row r="33" spans="1:34" ht="11.25" customHeight="1" x14ac:dyDescent="0.15">
      <c r="D33" s="29"/>
      <c r="F33" s="34"/>
      <c r="G33" s="35"/>
      <c r="H33" s="35"/>
      <c r="I33" s="35"/>
      <c r="J33" s="35"/>
      <c r="K33" s="35"/>
      <c r="L33" s="34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9"/>
    </row>
    <row r="34" spans="1:34" s="29" customFormat="1" ht="11.25" customHeight="1" x14ac:dyDescent="0.15"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</row>
    <row r="35" spans="1:34" ht="11.25" customHeight="1" x14ac:dyDescent="0.15">
      <c r="A35" s="29"/>
      <c r="D35" s="29"/>
      <c r="F35" s="4" t="s">
        <v>8</v>
      </c>
    </row>
    <row r="36" spans="1:34" ht="11.25" customHeight="1" x14ac:dyDescent="0.15">
      <c r="A36" s="29"/>
      <c r="D36" s="29"/>
      <c r="F36" s="15" t="str">
        <f>F27</f>
        <v>方法</v>
      </c>
      <c r="G36" s="16"/>
      <c r="H36" s="16"/>
      <c r="I36" s="16"/>
      <c r="J36" s="16"/>
      <c r="K36" s="17"/>
      <c r="L36" s="16" t="s">
        <v>9</v>
      </c>
      <c r="M36" s="16"/>
      <c r="N36" s="17"/>
      <c r="O36" s="16" t="s">
        <v>10</v>
      </c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  <c r="AG36" s="16"/>
      <c r="AH36" s="17"/>
    </row>
    <row r="37" spans="1:34" ht="11.25" customHeight="1" x14ac:dyDescent="0.15">
      <c r="A37" s="29"/>
      <c r="D37" s="29"/>
      <c r="F37" s="21" t="str">
        <f>F28</f>
        <v>定型メール送信</v>
      </c>
      <c r="G37" s="22"/>
      <c r="H37" s="22"/>
      <c r="I37" s="22"/>
      <c r="J37" s="22"/>
      <c r="K37" s="23"/>
      <c r="L37" s="56" t="s">
        <v>13</v>
      </c>
      <c r="M37" s="56"/>
      <c r="N37" s="57"/>
      <c r="O37" s="52" t="s">
        <v>99</v>
      </c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50"/>
    </row>
    <row r="38" spans="1:34" ht="11.25" customHeight="1" x14ac:dyDescent="0.15">
      <c r="A38" s="29"/>
      <c r="D38" s="29"/>
      <c r="F38" s="44" t="str">
        <f>F32</f>
        <v>非定型メール送信</v>
      </c>
      <c r="G38" s="45"/>
      <c r="H38" s="45"/>
      <c r="I38" s="45"/>
      <c r="J38" s="45"/>
      <c r="K38" s="46"/>
      <c r="L38" s="55" t="s">
        <v>67</v>
      </c>
      <c r="M38" s="55"/>
      <c r="N38" s="58"/>
      <c r="O38" s="59" t="s">
        <v>68</v>
      </c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1"/>
    </row>
    <row r="39" spans="1:34" s="29" customFormat="1" ht="11.25" customHeight="1" x14ac:dyDescent="0.15"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</row>
    <row r="40" spans="1:34" s="29" customFormat="1" ht="11.25" customHeight="1" x14ac:dyDescent="0.15">
      <c r="F40" s="29" t="s">
        <v>94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</row>
    <row r="41" spans="1:34" s="29" customFormat="1" ht="11.25" customHeight="1" x14ac:dyDescent="0.15"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</row>
    <row r="42" spans="1:34" s="29" customFormat="1" ht="11.25" customHeight="1" x14ac:dyDescent="0.15">
      <c r="F42" s="32" t="s">
        <v>95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</row>
    <row r="43" spans="1:34" s="29" customFormat="1" ht="11.25" customHeight="1" x14ac:dyDescent="0.15">
      <c r="F43" s="32" t="s">
        <v>96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</row>
    <row r="44" spans="1:34" s="29" customFormat="1" ht="11.25" customHeight="1" x14ac:dyDescent="0.15">
      <c r="F44" s="32" t="s">
        <v>97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</row>
    <row r="45" spans="1:34" s="29" customFormat="1" ht="11.25" customHeight="1" x14ac:dyDescent="0.15">
      <c r="F45" s="32" t="s">
        <v>98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</row>
    <row r="46" spans="1:34" s="29" customFormat="1" ht="11.25" customHeight="1" x14ac:dyDescent="0.15">
      <c r="F46" s="32"/>
      <c r="G46" s="32"/>
      <c r="H46" s="32"/>
      <c r="I46" s="32"/>
      <c r="J46" s="32"/>
      <c r="K46" s="32"/>
      <c r="L46" s="32"/>
      <c r="M46" s="32"/>
      <c r="N46" s="32"/>
      <c r="O46" s="49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</row>
    <row r="47" spans="1:34" s="29" customFormat="1" ht="11.25" customHeight="1" x14ac:dyDescent="0.15">
      <c r="E47" s="30" t="str">
        <f>D23&amp;"2."</f>
        <v>6.3.2.2.</v>
      </c>
      <c r="F47" s="32" t="s">
        <v>30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</row>
    <row r="48" spans="1:34" s="29" customFormat="1" ht="11.25" customHeight="1" x14ac:dyDescent="0.15">
      <c r="E48" s="30"/>
      <c r="F48" s="32" t="s">
        <v>102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</row>
    <row r="49" spans="4:34" s="29" customFormat="1" ht="11.25" customHeight="1" x14ac:dyDescent="0.15">
      <c r="F49" s="32" t="s">
        <v>103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</row>
    <row r="50" spans="4:34" s="29" customFormat="1" ht="11.25" customHeight="1" x14ac:dyDescent="0.15"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</row>
    <row r="51" spans="4:34" s="29" customFormat="1" ht="11.25" customHeight="1" x14ac:dyDescent="0.15">
      <c r="F51" s="66" t="s">
        <v>111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</row>
    <row r="52" spans="4:34" ht="11.25" customHeight="1" x14ac:dyDescent="0.15"/>
    <row r="53" spans="4:34" ht="11.25" customHeight="1" x14ac:dyDescent="0.15"/>
    <row r="54" spans="4:34" s="47" customFormat="1" ht="11.25" customHeight="1" x14ac:dyDescent="0.15">
      <c r="D54" s="48" t="str">
        <f>$C$7&amp;"3."</f>
        <v>6.3.3.</v>
      </c>
      <c r="E54" s="47" t="s">
        <v>25</v>
      </c>
    </row>
    <row r="55" spans="4:34" s="47" customFormat="1" ht="11.25" customHeight="1" x14ac:dyDescent="0.15">
      <c r="E55" s="48" t="str">
        <f>D54&amp;"1."</f>
        <v>6.3.3.1.</v>
      </c>
      <c r="F55" s="47" t="str">
        <f>E54&amp;"手段"</f>
        <v>メールテンプレート手段</v>
      </c>
    </row>
    <row r="56" spans="4:34" s="47" customFormat="1" ht="11.25" customHeight="1" x14ac:dyDescent="0.15">
      <c r="E56" s="48"/>
      <c r="F56" s="47" t="s">
        <v>106</v>
      </c>
    </row>
    <row r="57" spans="4:34" s="47" customFormat="1" ht="11.25" customHeight="1" x14ac:dyDescent="0.15">
      <c r="E57" s="48"/>
      <c r="F57" s="47" t="s">
        <v>110</v>
      </c>
    </row>
    <row r="58" spans="4:34" s="47" customFormat="1" ht="11.25" customHeight="1" x14ac:dyDescent="0.15">
      <c r="E58" s="48"/>
    </row>
    <row r="59" spans="4:34" s="47" customFormat="1" ht="11.25" customHeight="1" x14ac:dyDescent="0.15">
      <c r="E59" s="48"/>
      <c r="F59" s="47" t="s">
        <v>104</v>
      </c>
    </row>
    <row r="60" spans="4:34" s="47" customFormat="1" ht="11.25" customHeight="1" x14ac:dyDescent="0.15">
      <c r="E60" s="48"/>
      <c r="F60" s="47" t="s">
        <v>105</v>
      </c>
    </row>
    <row r="61" spans="4:34" s="47" customFormat="1" ht="11.25" customHeight="1" x14ac:dyDescent="0.15">
      <c r="E61" s="48"/>
    </row>
    <row r="62" spans="4:34" s="47" customFormat="1" ht="11.25" customHeight="1" x14ac:dyDescent="0.15">
      <c r="E62" s="48"/>
      <c r="F62" s="47" t="s">
        <v>107</v>
      </c>
    </row>
    <row r="63" spans="4:34" s="47" customFormat="1" ht="11.25" customHeight="1" x14ac:dyDescent="0.15">
      <c r="E63" s="48"/>
      <c r="F63" s="47" t="s">
        <v>108</v>
      </c>
    </row>
    <row r="64" spans="4:34" s="47" customFormat="1" ht="11.25" customHeight="1" x14ac:dyDescent="0.15">
      <c r="E64" s="48"/>
    </row>
    <row r="65" spans="1:35" s="47" customFormat="1" ht="11.25" customHeight="1" x14ac:dyDescent="0.15">
      <c r="E65" s="48"/>
      <c r="F65" s="47" t="s">
        <v>109</v>
      </c>
    </row>
    <row r="66" spans="1:35" s="47" customFormat="1" ht="11.25" customHeight="1" x14ac:dyDescent="0.15">
      <c r="E66" s="48"/>
    </row>
    <row r="67" spans="1:35" s="47" customFormat="1" ht="11.25" customHeight="1" x14ac:dyDescent="0.15">
      <c r="E67" s="48"/>
      <c r="F67" s="47" t="s">
        <v>80</v>
      </c>
      <c r="G67" s="47" t="s">
        <v>81</v>
      </c>
    </row>
    <row r="68" spans="1:35" s="47" customFormat="1" ht="11.25" customHeight="1" x14ac:dyDescent="0.15">
      <c r="E68" s="48"/>
      <c r="F68" s="47" t="s">
        <v>84</v>
      </c>
      <c r="G68" s="47" t="s">
        <v>82</v>
      </c>
    </row>
    <row r="69" spans="1:35" s="47" customFormat="1" ht="11.25" customHeight="1" x14ac:dyDescent="0.15">
      <c r="E69" s="48"/>
      <c r="F69" s="47" t="s">
        <v>85</v>
      </c>
      <c r="G69" s="47" t="s">
        <v>83</v>
      </c>
    </row>
    <row r="70" spans="1:35" s="47" customFormat="1" ht="11.25" customHeight="1" x14ac:dyDescent="0.15">
      <c r="E70" s="48"/>
    </row>
    <row r="71" spans="1:35" s="47" customFormat="1" ht="11.25" customHeight="1" x14ac:dyDescent="0.15">
      <c r="E71" s="48"/>
      <c r="F71" s="47" t="s">
        <v>86</v>
      </c>
    </row>
    <row r="72" spans="1:35" s="47" customFormat="1" ht="11.25" customHeight="1" x14ac:dyDescent="0.15">
      <c r="E72" s="48"/>
      <c r="F72" s="47" t="s">
        <v>87</v>
      </c>
    </row>
    <row r="73" spans="1:35" s="47" customFormat="1" ht="11.25" customHeight="1" x14ac:dyDescent="0.15"/>
    <row r="74" spans="1:35" s="47" customFormat="1" ht="11.25" customHeight="1" x14ac:dyDescent="0.15">
      <c r="D74" s="48" t="str">
        <f>$C$7&amp;"4."</f>
        <v>6.3.4.</v>
      </c>
      <c r="E74" s="47" t="s">
        <v>26</v>
      </c>
    </row>
    <row r="75" spans="1:35" ht="11.25" customHeight="1" x14ac:dyDescent="0.15">
      <c r="E75" s="24" t="str">
        <f>D74&amp;"1."</f>
        <v>6.3.4.1.</v>
      </c>
      <c r="F75" s="4" t="str">
        <f>E74&amp;"手段"</f>
        <v>メールフォーマット手段</v>
      </c>
    </row>
    <row r="76" spans="1:35" ht="11.25" customHeight="1" x14ac:dyDescent="0.15">
      <c r="F76" s="15" t="s">
        <v>53</v>
      </c>
      <c r="G76" s="16"/>
      <c r="H76" s="16"/>
      <c r="I76" s="16"/>
      <c r="J76" s="17"/>
      <c r="K76" s="16" t="s">
        <v>27</v>
      </c>
      <c r="L76" s="16"/>
      <c r="M76" s="16"/>
      <c r="N76" s="16"/>
      <c r="O76" s="16"/>
      <c r="P76" s="17"/>
      <c r="Q76" s="16" t="s">
        <v>57</v>
      </c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7"/>
    </row>
    <row r="77" spans="1:35" ht="11.25" customHeight="1" x14ac:dyDescent="0.15">
      <c r="F77" s="44" t="s">
        <v>56</v>
      </c>
      <c r="G77" s="45"/>
      <c r="H77" s="45"/>
      <c r="I77" s="45"/>
      <c r="J77" s="45"/>
      <c r="K77" s="62" t="s">
        <v>75</v>
      </c>
      <c r="L77" s="60"/>
      <c r="M77" s="60"/>
      <c r="N77" s="60"/>
      <c r="O77" s="60"/>
      <c r="P77" s="60"/>
      <c r="Q77" s="62" t="s">
        <v>58</v>
      </c>
      <c r="R77" s="60"/>
      <c r="S77" s="60"/>
      <c r="T77" s="60"/>
      <c r="U77" s="60"/>
      <c r="V77" s="60"/>
      <c r="W77" s="60"/>
      <c r="X77" s="60"/>
      <c r="Y77" s="60"/>
      <c r="Z77" s="60"/>
      <c r="AA77" s="60"/>
      <c r="AB77" s="60"/>
      <c r="AC77" s="60"/>
      <c r="AD77" s="60"/>
      <c r="AE77" s="60"/>
      <c r="AF77" s="60"/>
      <c r="AG77" s="60"/>
      <c r="AH77" s="61"/>
    </row>
    <row r="78" spans="1:35" ht="11.25" customHeight="1" x14ac:dyDescent="0.15"/>
    <row r="79" spans="1:35" ht="11.25" customHeight="1" x14ac:dyDescent="0.15">
      <c r="E79" s="24"/>
    </row>
    <row r="80" spans="1:35" ht="11.25" customHeight="1" x14ac:dyDescent="0.15">
      <c r="A80" s="28"/>
      <c r="B80" s="28"/>
      <c r="C80" s="28"/>
      <c r="D80" s="30" t="str">
        <f>$C$7&amp;"5."</f>
        <v>6.3.5.</v>
      </c>
      <c r="E80" s="29" t="s">
        <v>31</v>
      </c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  <c r="AC80" s="28"/>
      <c r="AD80" s="28"/>
      <c r="AE80" s="28"/>
      <c r="AF80" s="28"/>
      <c r="AG80" s="28"/>
      <c r="AH80" s="28"/>
      <c r="AI80" s="28"/>
    </row>
    <row r="81" spans="1:35" ht="11.25" customHeight="1" x14ac:dyDescent="0.15">
      <c r="A81" s="28"/>
      <c r="B81" s="28"/>
      <c r="C81" s="28"/>
      <c r="D81" s="30"/>
      <c r="E81" s="30" t="str">
        <f>D80&amp;"1."</f>
        <v>6.3.5.1.</v>
      </c>
      <c r="F81" s="29" t="str">
        <f>E80&amp;"機能概要"</f>
        <v>エラー処理機能概要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  <c r="AC81" s="28"/>
      <c r="AD81" s="28"/>
      <c r="AE81" s="28"/>
      <c r="AF81" s="28"/>
      <c r="AG81" s="28"/>
      <c r="AH81" s="28"/>
      <c r="AI81" s="28"/>
    </row>
    <row r="82" spans="1:35" ht="11.25" customHeight="1" x14ac:dyDescent="0.15">
      <c r="A82" s="28"/>
      <c r="B82" s="28"/>
      <c r="C82" s="28"/>
      <c r="D82" s="28"/>
      <c r="E82" s="28"/>
      <c r="F82" s="29" t="s">
        <v>32</v>
      </c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  <c r="AC82" s="28"/>
      <c r="AD82" s="28"/>
      <c r="AE82" s="28"/>
      <c r="AF82" s="28"/>
      <c r="AG82" s="28"/>
      <c r="AH82" s="28"/>
      <c r="AI82" s="28"/>
    </row>
    <row r="83" spans="1:35" ht="11.25" customHeight="1" x14ac:dyDescent="0.15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  <c r="AC83" s="28"/>
      <c r="AD83" s="28"/>
      <c r="AE83" s="28"/>
      <c r="AF83" s="28"/>
      <c r="AG83" s="28"/>
      <c r="AH83" s="28"/>
      <c r="AI83" s="28"/>
    </row>
    <row r="84" spans="1:35" ht="11.25" customHeight="1" x14ac:dyDescent="0.15">
      <c r="A84" s="28"/>
      <c r="B84" s="28"/>
      <c r="C84" s="28"/>
      <c r="D84" s="28"/>
      <c r="E84" s="30" t="str">
        <f>D80&amp;"2."</f>
        <v>6.3.5.2.</v>
      </c>
      <c r="F84" s="29" t="str">
        <f>E80&amp;"方法"</f>
        <v>エラー処理方法</v>
      </c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  <c r="AC84" s="28"/>
      <c r="AD84" s="28"/>
      <c r="AE84" s="28"/>
      <c r="AF84" s="28"/>
      <c r="AG84" s="28"/>
      <c r="AH84" s="28"/>
      <c r="AI84" s="28"/>
    </row>
    <row r="85" spans="1:35" s="29" customFormat="1" ht="11.25" customHeight="1" x14ac:dyDescent="0.15">
      <c r="A85" s="28"/>
      <c r="B85" s="28"/>
      <c r="C85" s="28"/>
      <c r="D85" s="28"/>
      <c r="E85" s="28"/>
      <c r="F85" s="29" t="s">
        <v>45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  <c r="AC85" s="28"/>
      <c r="AD85" s="28"/>
      <c r="AE85" s="28"/>
      <c r="AF85" s="28"/>
      <c r="AG85" s="28"/>
      <c r="AH85" s="28"/>
      <c r="AI85" s="28"/>
    </row>
    <row r="86" spans="1:35" s="29" customFormat="1" ht="11.25" customHeight="1" x14ac:dyDescent="0.15">
      <c r="A86" s="43"/>
      <c r="B86" s="43"/>
      <c r="C86" s="43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  <c r="AC86" s="28"/>
      <c r="AD86" s="28"/>
      <c r="AE86" s="28"/>
      <c r="AF86" s="28"/>
      <c r="AG86" s="28"/>
      <c r="AH86" s="28"/>
      <c r="AI86" s="28"/>
    </row>
    <row r="87" spans="1:35" s="29" customFormat="1" ht="11.25" customHeight="1" x14ac:dyDescent="0.15">
      <c r="A87" s="43"/>
      <c r="B87" s="27"/>
      <c r="C87" s="43"/>
      <c r="D87" s="28"/>
      <c r="E87" s="28"/>
      <c r="F87" s="40" t="s">
        <v>33</v>
      </c>
      <c r="G87" s="41"/>
      <c r="H87" s="41"/>
      <c r="I87" s="42"/>
      <c r="J87" s="40" t="s">
        <v>36</v>
      </c>
      <c r="K87" s="41"/>
      <c r="L87" s="41"/>
      <c r="M87" s="41"/>
      <c r="N87" s="41"/>
      <c r="O87" s="42"/>
      <c r="P87" s="41" t="s">
        <v>40</v>
      </c>
      <c r="Q87" s="41"/>
      <c r="R87" s="41"/>
      <c r="S87" s="41"/>
      <c r="T87" s="41"/>
      <c r="U87" s="41"/>
      <c r="V87" s="42"/>
      <c r="W87" s="41" t="s">
        <v>42</v>
      </c>
      <c r="X87" s="41"/>
      <c r="Y87" s="41"/>
      <c r="Z87" s="41"/>
      <c r="AA87" s="41"/>
      <c r="AB87" s="41"/>
      <c r="AC87" s="41"/>
      <c r="AD87" s="41"/>
      <c r="AE87" s="41"/>
      <c r="AF87" s="41"/>
      <c r="AG87" s="41"/>
      <c r="AH87" s="42"/>
    </row>
    <row r="88" spans="1:35" s="29" customFormat="1" ht="11.25" customHeight="1" x14ac:dyDescent="0.15">
      <c r="A88" s="27"/>
      <c r="B88" s="27"/>
      <c r="C88" s="43"/>
      <c r="D88" s="28"/>
      <c r="E88" s="28"/>
      <c r="F88" s="36" t="s">
        <v>34</v>
      </c>
      <c r="G88" s="37"/>
      <c r="H88" s="37"/>
      <c r="I88" s="37"/>
      <c r="J88" s="36" t="s">
        <v>37</v>
      </c>
      <c r="K88" s="37"/>
      <c r="L88" s="37"/>
      <c r="M88" s="37"/>
      <c r="N88" s="37"/>
      <c r="O88" s="37"/>
      <c r="P88" s="36" t="s">
        <v>41</v>
      </c>
      <c r="Q88" s="37"/>
      <c r="R88" s="37"/>
      <c r="S88" s="37"/>
      <c r="T88" s="37"/>
      <c r="U88" s="37"/>
      <c r="V88" s="38"/>
      <c r="W88" s="37" t="s">
        <v>43</v>
      </c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8"/>
    </row>
    <row r="89" spans="1:35" s="29" customFormat="1" ht="11.25" customHeight="1" x14ac:dyDescent="0.15">
      <c r="A89" s="27"/>
      <c r="B89" s="27"/>
      <c r="C89" s="43"/>
      <c r="D89" s="28"/>
      <c r="E89" s="28"/>
      <c r="F89" s="36" t="s">
        <v>35</v>
      </c>
      <c r="G89" s="37"/>
      <c r="H89" s="37"/>
      <c r="I89" s="37"/>
      <c r="J89" s="36" t="s">
        <v>38</v>
      </c>
      <c r="K89" s="37"/>
      <c r="L89" s="37"/>
      <c r="M89" s="37"/>
      <c r="N89" s="37"/>
      <c r="O89" s="37"/>
      <c r="P89" s="36" t="s">
        <v>54</v>
      </c>
      <c r="Q89" s="37"/>
      <c r="R89" s="37"/>
      <c r="S89" s="37"/>
      <c r="T89" s="37"/>
      <c r="U89" s="37"/>
      <c r="V89" s="38"/>
      <c r="W89" s="37" t="s">
        <v>44</v>
      </c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8"/>
    </row>
    <row r="90" spans="1:35" s="29" customFormat="1" ht="11.25" customHeight="1" x14ac:dyDescent="0.15">
      <c r="A90" s="27"/>
      <c r="B90" s="27"/>
      <c r="C90" s="43"/>
      <c r="D90" s="28"/>
      <c r="E90" s="28"/>
      <c r="F90" s="31"/>
      <c r="G90" s="32"/>
      <c r="H90" s="32"/>
      <c r="I90" s="32"/>
      <c r="J90" s="34"/>
      <c r="K90" s="35"/>
      <c r="L90" s="35"/>
      <c r="M90" s="35"/>
      <c r="N90" s="35"/>
      <c r="O90" s="35"/>
      <c r="P90" s="34" t="s">
        <v>52</v>
      </c>
      <c r="Q90" s="35"/>
      <c r="R90" s="35"/>
      <c r="S90" s="35"/>
      <c r="T90" s="35"/>
      <c r="U90" s="35"/>
      <c r="V90" s="39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3"/>
    </row>
    <row r="91" spans="1:35" s="29" customFormat="1" ht="11.25" customHeight="1" x14ac:dyDescent="0.15">
      <c r="A91" s="27"/>
      <c r="B91" s="27"/>
      <c r="C91" s="43"/>
      <c r="D91" s="28"/>
      <c r="E91" s="28"/>
      <c r="F91" s="34"/>
      <c r="G91" s="35"/>
      <c r="H91" s="35"/>
      <c r="I91" s="35"/>
      <c r="J91" s="34" t="s">
        <v>39</v>
      </c>
      <c r="K91" s="35"/>
      <c r="L91" s="35"/>
      <c r="M91" s="35"/>
      <c r="N91" s="35"/>
      <c r="O91" s="35"/>
      <c r="P91" s="34" t="s">
        <v>65</v>
      </c>
      <c r="Q91" s="35"/>
      <c r="R91" s="35"/>
      <c r="S91" s="35"/>
      <c r="T91" s="35"/>
      <c r="U91" s="35"/>
      <c r="V91" s="39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9"/>
    </row>
    <row r="92" spans="1:35" s="29" customFormat="1" ht="11.25" customHeight="1" x14ac:dyDescent="0.15">
      <c r="A92" s="27"/>
      <c r="B92" s="27"/>
      <c r="C92" s="43"/>
      <c r="D92" s="28"/>
      <c r="E92" s="28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</row>
    <row r="93" spans="1:35" s="29" customFormat="1" ht="11.25" customHeight="1" x14ac:dyDescent="0.15">
      <c r="A93" s="28"/>
      <c r="B93" s="28"/>
      <c r="C93" s="28"/>
      <c r="D93" s="28"/>
      <c r="E93" s="28"/>
      <c r="F93" s="29" t="s">
        <v>46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  <c r="AC93" s="28"/>
      <c r="AD93" s="28"/>
      <c r="AE93" s="28"/>
      <c r="AF93" s="28"/>
      <c r="AG93" s="28"/>
      <c r="AH93" s="28"/>
      <c r="AI93" s="28"/>
    </row>
    <row r="94" spans="1:35" s="29" customFormat="1" ht="11.25" customHeight="1" x14ac:dyDescent="0.15">
      <c r="A94" s="43"/>
      <c r="B94" s="43"/>
      <c r="C94" s="43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  <c r="AC94" s="28"/>
      <c r="AD94" s="28"/>
      <c r="AE94" s="28"/>
      <c r="AF94" s="28"/>
      <c r="AG94" s="28"/>
      <c r="AH94" s="28"/>
      <c r="AI94" s="28"/>
    </row>
    <row r="95" spans="1:35" s="29" customFormat="1" ht="11.25" customHeight="1" x14ac:dyDescent="0.15">
      <c r="A95" s="43"/>
      <c r="B95" s="27"/>
      <c r="C95" s="43"/>
      <c r="D95" s="28"/>
      <c r="E95" s="28"/>
      <c r="F95" s="40" t="s">
        <v>33</v>
      </c>
      <c r="G95" s="41"/>
      <c r="H95" s="41"/>
      <c r="I95" s="42"/>
      <c r="J95" s="40" t="s">
        <v>36</v>
      </c>
      <c r="K95" s="41"/>
      <c r="L95" s="41"/>
      <c r="M95" s="41"/>
      <c r="N95" s="41"/>
      <c r="O95" s="42"/>
      <c r="P95" s="41" t="s">
        <v>40</v>
      </c>
      <c r="Q95" s="41"/>
      <c r="R95" s="41"/>
      <c r="S95" s="41"/>
      <c r="T95" s="41"/>
      <c r="U95" s="41"/>
      <c r="V95" s="42"/>
      <c r="W95" s="41" t="s">
        <v>42</v>
      </c>
      <c r="X95" s="41"/>
      <c r="Y95" s="41"/>
      <c r="Z95" s="41"/>
      <c r="AA95" s="41"/>
      <c r="AB95" s="41"/>
      <c r="AC95" s="41"/>
      <c r="AD95" s="41"/>
      <c r="AE95" s="41"/>
      <c r="AF95" s="41"/>
      <c r="AG95" s="41"/>
      <c r="AH95" s="42"/>
    </row>
    <row r="96" spans="1:35" s="29" customFormat="1" ht="11.25" customHeight="1" x14ac:dyDescent="0.15">
      <c r="A96" s="27"/>
      <c r="B96" s="27"/>
      <c r="C96" s="43"/>
      <c r="D96" s="28"/>
      <c r="E96" s="28"/>
      <c r="F96" s="36" t="s">
        <v>34</v>
      </c>
      <c r="G96" s="37"/>
      <c r="H96" s="37"/>
      <c r="I96" s="37"/>
      <c r="J96" s="36" t="s">
        <v>47</v>
      </c>
      <c r="K96" s="37"/>
      <c r="L96" s="37"/>
      <c r="M96" s="37"/>
      <c r="N96" s="37"/>
      <c r="O96" s="37"/>
      <c r="P96" s="36" t="s">
        <v>49</v>
      </c>
      <c r="Q96" s="37"/>
      <c r="R96" s="37"/>
      <c r="S96" s="37"/>
      <c r="T96" s="37"/>
      <c r="U96" s="37"/>
      <c r="V96" s="38"/>
      <c r="W96" s="37" t="s">
        <v>50</v>
      </c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8"/>
    </row>
    <row r="97" spans="1:34" s="29" customFormat="1" ht="11.25" customHeight="1" x14ac:dyDescent="0.15">
      <c r="A97" s="27"/>
      <c r="B97" s="27"/>
      <c r="C97" s="43"/>
      <c r="D97" s="28"/>
      <c r="E97" s="28"/>
      <c r="F97" s="44" t="s">
        <v>35</v>
      </c>
      <c r="G97" s="45"/>
      <c r="H97" s="45"/>
      <c r="I97" s="45"/>
      <c r="J97" s="44" t="s">
        <v>48</v>
      </c>
      <c r="K97" s="45"/>
      <c r="L97" s="45"/>
      <c r="M97" s="45"/>
      <c r="N97" s="45"/>
      <c r="O97" s="45"/>
      <c r="P97" s="44" t="s">
        <v>66</v>
      </c>
      <c r="Q97" s="45"/>
      <c r="R97" s="45"/>
      <c r="S97" s="45"/>
      <c r="T97" s="45"/>
      <c r="U97" s="45"/>
      <c r="V97" s="46"/>
      <c r="W97" s="45" t="s">
        <v>51</v>
      </c>
      <c r="X97" s="45"/>
      <c r="Y97" s="45"/>
      <c r="Z97" s="45"/>
      <c r="AA97" s="45"/>
      <c r="AB97" s="45"/>
      <c r="AC97" s="45"/>
      <c r="AD97" s="45"/>
      <c r="AE97" s="45"/>
      <c r="AF97" s="45"/>
      <c r="AG97" s="45"/>
      <c r="AH97" s="46"/>
    </row>
    <row r="98" spans="1:34" s="27" customFormat="1" ht="11.25" customHeight="1" x14ac:dyDescent="0.15">
      <c r="C98" s="43"/>
      <c r="D98" s="43"/>
      <c r="E98" s="43"/>
      <c r="F98" s="49"/>
      <c r="G98" s="49"/>
      <c r="H98" s="49"/>
      <c r="I98" s="49"/>
      <c r="J98" s="49"/>
      <c r="K98" s="49"/>
      <c r="L98" s="49"/>
      <c r="M98" s="49"/>
      <c r="N98" s="49"/>
      <c r="O98" s="49"/>
      <c r="P98" s="49"/>
      <c r="Q98" s="49"/>
      <c r="R98" s="49"/>
      <c r="S98" s="49"/>
      <c r="T98" s="49"/>
      <c r="U98" s="49"/>
      <c r="V98" s="49"/>
      <c r="W98" s="49"/>
      <c r="X98" s="49"/>
      <c r="Y98" s="49"/>
      <c r="Z98" s="49"/>
      <c r="AA98" s="49"/>
      <c r="AB98" s="49"/>
      <c r="AC98" s="49"/>
      <c r="AD98" s="49"/>
      <c r="AE98" s="49"/>
      <c r="AF98" s="49"/>
      <c r="AG98" s="49"/>
      <c r="AH98" s="49"/>
    </row>
    <row r="99" spans="1:34" ht="11.25" customHeight="1" x14ac:dyDescent="0.15">
      <c r="C99" s="27"/>
    </row>
    <row r="100" spans="1:34" s="29" customFormat="1" ht="11.25" customHeight="1" x14ac:dyDescent="0.15">
      <c r="C100" s="27"/>
      <c r="D100" s="25" t="str">
        <f>$C$7&amp;"6."</f>
        <v>6.3.6.</v>
      </c>
      <c r="E100" s="29" t="s">
        <v>60</v>
      </c>
    </row>
    <row r="101" spans="1:34" s="29" customFormat="1" ht="11.25" customHeight="1" x14ac:dyDescent="0.15">
      <c r="C101" s="27"/>
      <c r="D101" s="25"/>
      <c r="E101" s="29" t="s">
        <v>61</v>
      </c>
    </row>
    <row r="102" spans="1:34" s="29" customFormat="1" ht="11.25" customHeight="1" x14ac:dyDescent="0.15">
      <c r="C102" s="27"/>
      <c r="D102" s="25"/>
    </row>
    <row r="103" spans="1:34" s="29" customFormat="1" ht="11.25" customHeight="1" x14ac:dyDescent="0.15">
      <c r="C103" s="27"/>
      <c r="D103" s="25"/>
    </row>
    <row r="104" spans="1:34" ht="11.25" customHeight="1" x14ac:dyDescent="0.15">
      <c r="B104" s="27"/>
      <c r="C104" s="27"/>
      <c r="D104" s="53" t="str">
        <f>$C$7&amp;"7."</f>
        <v>6.3.7.</v>
      </c>
      <c r="E104" s="27" t="s">
        <v>63</v>
      </c>
      <c r="F104" s="27"/>
    </row>
    <row r="105" spans="1:34" ht="11.25" customHeight="1" x14ac:dyDescent="0.15">
      <c r="B105" s="27"/>
      <c r="C105" s="27"/>
      <c r="D105" s="27"/>
      <c r="E105" s="27" t="s">
        <v>64</v>
      </c>
      <c r="F105" s="27"/>
    </row>
    <row r="106" spans="1:34" s="29" customFormat="1" ht="11.25" customHeight="1" x14ac:dyDescent="0.15">
      <c r="B106" s="27"/>
      <c r="C106" s="27"/>
      <c r="D106" s="27"/>
      <c r="E106" s="27"/>
      <c r="F106" s="27"/>
    </row>
    <row r="107" spans="1:34" ht="11.25" customHeight="1" x14ac:dyDescent="0.15">
      <c r="C107" s="27"/>
    </row>
    <row r="108" spans="1:34" ht="11.25" customHeight="1" x14ac:dyDescent="0.15">
      <c r="A108" s="27"/>
      <c r="B108" s="27"/>
      <c r="C108" s="27"/>
      <c r="D108" s="25" t="str">
        <f>$C$7&amp;"8."</f>
        <v>6.3.8.</v>
      </c>
      <c r="E108" s="4" t="s">
        <v>69</v>
      </c>
    </row>
    <row r="109" spans="1:34" s="29" customFormat="1" ht="11.25" customHeight="1" x14ac:dyDescent="0.15">
      <c r="A109" s="27"/>
      <c r="B109" s="27"/>
      <c r="C109" s="27"/>
      <c r="D109" s="25"/>
      <c r="E109" s="29" t="s">
        <v>71</v>
      </c>
    </row>
    <row r="110" spans="1:34" s="29" customFormat="1" ht="11.25" customHeight="1" x14ac:dyDescent="0.15">
      <c r="A110" s="27"/>
      <c r="B110" s="27"/>
      <c r="C110" s="27"/>
      <c r="D110" s="25"/>
      <c r="E110" s="29" t="s">
        <v>72</v>
      </c>
    </row>
    <row r="111" spans="1:34" s="29" customFormat="1" ht="11.25" customHeight="1" x14ac:dyDescent="0.15">
      <c r="A111" s="27"/>
      <c r="B111" s="27"/>
      <c r="C111" s="27"/>
      <c r="D111" s="25"/>
      <c r="E111" s="29" t="s">
        <v>73</v>
      </c>
    </row>
    <row r="112" spans="1:34" s="29" customFormat="1" ht="11.25" customHeight="1" x14ac:dyDescent="0.15">
      <c r="A112" s="27"/>
      <c r="B112" s="27"/>
      <c r="C112" s="27"/>
      <c r="D112" s="25"/>
    </row>
    <row r="113" spans="1:22" ht="11.25" customHeight="1" x14ac:dyDescent="0.15">
      <c r="A113" s="27"/>
      <c r="B113" s="27"/>
      <c r="C113" s="27"/>
      <c r="E113" s="29" t="s">
        <v>76</v>
      </c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</row>
    <row r="114" spans="1:22" s="29" customFormat="1" ht="11.25" customHeight="1" x14ac:dyDescent="0.15">
      <c r="C114" s="27"/>
    </row>
    <row r="115" spans="1:22" s="29" customFormat="1" ht="11.25" customHeight="1" x14ac:dyDescent="0.15">
      <c r="C115" s="27"/>
      <c r="E115" s="40" t="s">
        <v>79</v>
      </c>
      <c r="F115" s="26"/>
      <c r="G115" s="26"/>
      <c r="H115" s="26"/>
      <c r="I115" s="26"/>
      <c r="J115" s="40" t="s">
        <v>70</v>
      </c>
      <c r="K115" s="26"/>
      <c r="L115" s="26"/>
      <c r="M115" s="26"/>
      <c r="N115" s="26"/>
      <c r="O115" s="54"/>
      <c r="P115" s="63" t="s">
        <v>88</v>
      </c>
      <c r="Q115" s="64"/>
      <c r="R115" s="64"/>
      <c r="S115" s="65"/>
      <c r="T115" s="4"/>
      <c r="U115" s="4"/>
      <c r="V115" s="4"/>
    </row>
    <row r="116" spans="1:22" ht="11.25" customHeight="1" x14ac:dyDescent="0.15">
      <c r="C116" s="27"/>
      <c r="E116" s="44">
        <v>1</v>
      </c>
      <c r="F116" s="45"/>
      <c r="G116" s="45"/>
      <c r="H116" s="45"/>
      <c r="I116" s="45"/>
      <c r="J116" s="44" t="s">
        <v>78</v>
      </c>
      <c r="K116" s="45"/>
      <c r="L116" s="45"/>
      <c r="M116" s="45"/>
      <c r="N116" s="45"/>
      <c r="O116" s="46"/>
      <c r="P116" s="44" t="s">
        <v>89</v>
      </c>
      <c r="Q116" s="45"/>
      <c r="R116" s="45"/>
      <c r="S116" s="46"/>
    </row>
    <row r="117" spans="1:22" ht="11.25" customHeight="1" x14ac:dyDescent="0.15">
      <c r="C117" s="27"/>
      <c r="E117" s="34">
        <v>2</v>
      </c>
      <c r="F117" s="35"/>
      <c r="G117" s="35"/>
      <c r="H117" s="35"/>
      <c r="I117" s="35"/>
      <c r="J117" s="34" t="s">
        <v>77</v>
      </c>
      <c r="K117" s="35"/>
      <c r="L117" s="35"/>
      <c r="M117" s="35"/>
      <c r="N117" s="35"/>
      <c r="O117" s="39"/>
      <c r="P117" s="44" t="s">
        <v>90</v>
      </c>
      <c r="Q117" s="45"/>
      <c r="R117" s="45"/>
      <c r="S117" s="46"/>
    </row>
    <row r="118" spans="1:22" ht="11.25" customHeight="1" x14ac:dyDescent="0.15">
      <c r="C118" s="27"/>
    </row>
    <row r="119" spans="1:22" ht="11.25" customHeight="1" x14ac:dyDescent="0.15">
      <c r="F119" s="29"/>
    </row>
    <row r="120" spans="1:22" ht="11.25" customHeight="1" x14ac:dyDescent="0.15"/>
    <row r="121" spans="1:22" ht="11.25" customHeight="1" x14ac:dyDescent="0.15"/>
    <row r="122" spans="1:22" ht="11.25" customHeight="1" x14ac:dyDescent="0.15"/>
    <row r="123" spans="1:22" ht="11.25" customHeight="1" x14ac:dyDescent="0.15"/>
    <row r="124" spans="1:22" ht="11.25" customHeight="1" x14ac:dyDescent="0.15"/>
    <row r="125" spans="1:22" ht="11.25" customHeight="1" x14ac:dyDescent="0.15"/>
    <row r="126" spans="1:22" ht="11.25" customHeight="1" x14ac:dyDescent="0.15"/>
    <row r="127" spans="1:22" ht="11.25" customHeight="1" x14ac:dyDescent="0.15"/>
    <row r="128" spans="1:22" ht="11.25" customHeight="1" x14ac:dyDescent="0.15"/>
    <row r="129" ht="11.25" customHeight="1" x14ac:dyDescent="0.15"/>
    <row r="130" ht="11.25" customHeight="1" x14ac:dyDescent="0.15"/>
    <row r="131" ht="11.25" customHeight="1" x14ac:dyDescent="0.15"/>
    <row r="132" ht="11.25" customHeight="1" x14ac:dyDescent="0.15"/>
    <row r="133" ht="11.25" customHeight="1" x14ac:dyDescent="0.15"/>
    <row r="134" ht="11.25" customHeight="1" x14ac:dyDescent="0.15"/>
    <row r="135" ht="11.25" customHeight="1" x14ac:dyDescent="0.15"/>
    <row r="136" ht="11.25" customHeight="1" x14ac:dyDescent="0.15"/>
    <row r="137" ht="11.25" customHeight="1" x14ac:dyDescent="0.15"/>
    <row r="138" ht="11.25" customHeight="1" x14ac:dyDescent="0.15"/>
    <row r="139" ht="11.25" customHeight="1" x14ac:dyDescent="0.15"/>
    <row r="140" ht="11.25" customHeight="1" x14ac:dyDescent="0.15"/>
    <row r="141" ht="11.25" customHeight="1" x14ac:dyDescent="0.15"/>
    <row r="142" ht="11.25" customHeight="1" x14ac:dyDescent="0.15"/>
    <row r="143" ht="11.25" customHeight="1" x14ac:dyDescent="0.15"/>
    <row r="144" ht="11.25" customHeight="1" x14ac:dyDescent="0.15"/>
    <row r="145" ht="11.25" customHeight="1" x14ac:dyDescent="0.15"/>
    <row r="146" ht="11.25" customHeight="1" x14ac:dyDescent="0.15"/>
    <row r="147" ht="11.25" customHeight="1" x14ac:dyDescent="0.15"/>
    <row r="148" ht="11.25" customHeight="1" x14ac:dyDescent="0.15"/>
    <row r="149" ht="11.25" customHeight="1" x14ac:dyDescent="0.15"/>
    <row r="150" ht="11.25" customHeight="1" x14ac:dyDescent="0.15"/>
    <row r="151" ht="11.25" customHeight="1" x14ac:dyDescent="0.15"/>
    <row r="152" ht="11.25" customHeight="1" x14ac:dyDescent="0.15"/>
    <row r="153" ht="11.25" customHeight="1" x14ac:dyDescent="0.15"/>
    <row r="154" ht="11.25" customHeight="1" x14ac:dyDescent="0.15"/>
    <row r="155" ht="11.25" customHeight="1" x14ac:dyDescent="0.15"/>
    <row r="156" ht="11.25" customHeight="1" x14ac:dyDescent="0.15"/>
    <row r="157" ht="11.25" customHeight="1" x14ac:dyDescent="0.15"/>
    <row r="158" ht="11.25" customHeight="1" x14ac:dyDescent="0.15"/>
    <row r="159" ht="11.25" customHeight="1" x14ac:dyDescent="0.15"/>
    <row r="160" ht="11.25" customHeight="1" x14ac:dyDescent="0.15"/>
    <row r="161" ht="11.25" customHeight="1" x14ac:dyDescent="0.15"/>
    <row r="162" ht="11.25" customHeight="1" x14ac:dyDescent="0.15"/>
    <row r="163" ht="11.25" customHeight="1" x14ac:dyDescent="0.15"/>
    <row r="164" ht="11.25" customHeight="1" x14ac:dyDescent="0.15"/>
    <row r="165" ht="11.25" customHeight="1" x14ac:dyDescent="0.15"/>
    <row r="166" ht="11.25" customHeight="1" x14ac:dyDescent="0.15"/>
    <row r="167" ht="11.25" customHeight="1" x14ac:dyDescent="0.15"/>
    <row r="168" ht="11.25" customHeight="1" x14ac:dyDescent="0.15"/>
    <row r="169" ht="11.25" customHeight="1" x14ac:dyDescent="0.15"/>
    <row r="170" ht="11.25" customHeight="1" x14ac:dyDescent="0.15"/>
    <row r="171" ht="11.25" customHeight="1" x14ac:dyDescent="0.15"/>
    <row r="172" ht="11.25" customHeight="1" x14ac:dyDescent="0.15"/>
    <row r="173" ht="11.25" customHeight="1" x14ac:dyDescent="0.15"/>
    <row r="174" ht="11.25" customHeight="1" x14ac:dyDescent="0.15"/>
    <row r="175" ht="11.25" customHeight="1" x14ac:dyDescent="0.15"/>
    <row r="176" ht="11.25" customHeight="1" x14ac:dyDescent="0.15"/>
    <row r="177" ht="11.25" customHeight="1" x14ac:dyDescent="0.15"/>
    <row r="178" ht="11.25" customHeight="1" x14ac:dyDescent="0.15"/>
    <row r="179" ht="11.25" customHeight="1" x14ac:dyDescent="0.15"/>
    <row r="180" ht="11.25" customHeight="1" x14ac:dyDescent="0.15"/>
    <row r="181" ht="11.25" customHeight="1" x14ac:dyDescent="0.15"/>
    <row r="182" ht="11.25" customHeight="1" x14ac:dyDescent="0.15"/>
    <row r="183" ht="11.25" customHeight="1" x14ac:dyDescent="0.15"/>
    <row r="184" ht="11.25" customHeight="1" x14ac:dyDescent="0.15"/>
    <row r="185" ht="11.25" customHeight="1" x14ac:dyDescent="0.15"/>
    <row r="186" ht="11.25" customHeight="1" x14ac:dyDescent="0.15"/>
    <row r="187" ht="11.25" customHeight="1" x14ac:dyDescent="0.15"/>
    <row r="188" ht="11.25" customHeight="1" x14ac:dyDescent="0.15"/>
    <row r="189" ht="11.25" customHeight="1" x14ac:dyDescent="0.15"/>
    <row r="190" ht="11.25" customHeight="1" x14ac:dyDescent="0.15"/>
    <row r="191" ht="11.25" customHeight="1" x14ac:dyDescent="0.15"/>
    <row r="192" ht="11.25" customHeight="1" x14ac:dyDescent="0.15"/>
    <row r="193" ht="11.25" customHeight="1" x14ac:dyDescent="0.15"/>
    <row r="194" ht="11.25" customHeight="1" x14ac:dyDescent="0.15"/>
    <row r="195" ht="11.25" customHeight="1" x14ac:dyDescent="0.15"/>
    <row r="196" ht="11.25" customHeight="1" x14ac:dyDescent="0.15"/>
    <row r="197" ht="11.25" customHeight="1" x14ac:dyDescent="0.15"/>
    <row r="198" ht="11.25" customHeight="1" x14ac:dyDescent="0.15"/>
    <row r="199" ht="11.25" customHeight="1" x14ac:dyDescent="0.15"/>
    <row r="200" ht="11.25" customHeight="1" x14ac:dyDescent="0.15"/>
    <row r="201" ht="11.25" customHeight="1" x14ac:dyDescent="0.15"/>
    <row r="202" ht="11.25" customHeight="1" x14ac:dyDescent="0.15"/>
    <row r="203" ht="11.25" customHeight="1" x14ac:dyDescent="0.15"/>
    <row r="204" ht="11.25" customHeight="1" x14ac:dyDescent="0.15"/>
    <row r="205" ht="11.25" customHeight="1" x14ac:dyDescent="0.15"/>
    <row r="206" ht="11.25" customHeight="1" x14ac:dyDescent="0.15"/>
    <row r="207" ht="11.25" customHeight="1" x14ac:dyDescent="0.15"/>
    <row r="208" ht="11.25" customHeight="1" x14ac:dyDescent="0.15"/>
    <row r="209" ht="11.25" customHeight="1" x14ac:dyDescent="0.15"/>
    <row r="210" ht="11.25" customHeight="1" x14ac:dyDescent="0.15"/>
    <row r="211" ht="11.25" customHeight="1" x14ac:dyDescent="0.15"/>
    <row r="212" ht="11.25" customHeight="1" x14ac:dyDescent="0.15"/>
    <row r="213" ht="11.25" customHeight="1" x14ac:dyDescent="0.15"/>
    <row r="214" ht="11.25" customHeight="1" x14ac:dyDescent="0.15"/>
    <row r="215" ht="11.25" customHeight="1" x14ac:dyDescent="0.15"/>
    <row r="216" ht="11.25" customHeight="1" x14ac:dyDescent="0.15"/>
    <row r="217" ht="11.25" customHeight="1" x14ac:dyDescent="0.15"/>
    <row r="218" ht="11.25" customHeight="1" x14ac:dyDescent="0.15"/>
    <row r="219" ht="11.25" customHeight="1" x14ac:dyDescent="0.15"/>
    <row r="220" ht="11.25" customHeight="1" x14ac:dyDescent="0.15"/>
    <row r="221" ht="11.25" customHeight="1" x14ac:dyDescent="0.15"/>
    <row r="222" ht="11.25" customHeight="1" x14ac:dyDescent="0.15"/>
    <row r="223" ht="11.25" customHeight="1" x14ac:dyDescent="0.15"/>
    <row r="224" ht="11.25" customHeight="1" x14ac:dyDescent="0.15"/>
    <row r="225" ht="11.25" customHeight="1" x14ac:dyDescent="0.15"/>
    <row r="226" ht="11.25" customHeight="1" x14ac:dyDescent="0.15"/>
    <row r="227" ht="11.25" customHeight="1" x14ac:dyDescent="0.15"/>
    <row r="228" ht="11.25" customHeight="1" x14ac:dyDescent="0.15"/>
    <row r="229" ht="11.25" customHeight="1" x14ac:dyDescent="0.15"/>
    <row r="230" ht="11.25" customHeight="1" x14ac:dyDescent="0.15"/>
    <row r="231" ht="11.25" customHeight="1" x14ac:dyDescent="0.15"/>
    <row r="232" ht="11.25" customHeight="1" x14ac:dyDescent="0.15"/>
    <row r="233" ht="11.25" customHeight="1" x14ac:dyDescent="0.15"/>
    <row r="234" ht="11.25" customHeight="1" x14ac:dyDescent="0.15"/>
    <row r="235" ht="11.25" customHeight="1" x14ac:dyDescent="0.15"/>
    <row r="236" ht="11.25" customHeight="1" x14ac:dyDescent="0.15"/>
    <row r="237" ht="11.25" customHeight="1" x14ac:dyDescent="0.15"/>
    <row r="238" ht="11.25" customHeight="1" x14ac:dyDescent="0.15"/>
    <row r="239" ht="11.25" customHeight="1" x14ac:dyDescent="0.15"/>
    <row r="240" ht="11.25" customHeight="1" x14ac:dyDescent="0.15"/>
    <row r="241" ht="11.25" customHeight="1" x14ac:dyDescent="0.15"/>
    <row r="242" ht="11.25" customHeight="1" x14ac:dyDescent="0.15"/>
    <row r="243" ht="11.25" customHeight="1" x14ac:dyDescent="0.15"/>
    <row r="244" ht="11.25" customHeight="1" x14ac:dyDescent="0.15"/>
    <row r="245" ht="11.25" customHeight="1" x14ac:dyDescent="0.15"/>
    <row r="246" ht="11.25" customHeight="1" x14ac:dyDescent="0.15"/>
    <row r="247" ht="11.25" customHeight="1" x14ac:dyDescent="0.15"/>
    <row r="248" ht="11.25" customHeight="1" x14ac:dyDescent="0.15"/>
    <row r="249" ht="11.25" customHeight="1" x14ac:dyDescent="0.15"/>
    <row r="250" ht="11.25" customHeight="1" x14ac:dyDescent="0.15"/>
    <row r="251" ht="11.25" customHeight="1" x14ac:dyDescent="0.15"/>
    <row r="252" ht="11.25" customHeight="1" x14ac:dyDescent="0.15"/>
    <row r="253" ht="11.25" customHeight="1" x14ac:dyDescent="0.15"/>
    <row r="254" ht="11.25" customHeight="1" x14ac:dyDescent="0.15"/>
    <row r="255" ht="11.25" customHeight="1" x14ac:dyDescent="0.15"/>
    <row r="256" ht="11.25" customHeight="1" x14ac:dyDescent="0.15"/>
    <row r="257" ht="11.25" customHeight="1" x14ac:dyDescent="0.15"/>
    <row r="258" ht="11.25" customHeight="1" x14ac:dyDescent="0.15"/>
    <row r="259" ht="11.25" customHeight="1" x14ac:dyDescent="0.15"/>
    <row r="260" ht="11.25" customHeight="1" x14ac:dyDescent="0.15"/>
    <row r="261" ht="11.25" customHeight="1" x14ac:dyDescent="0.15"/>
    <row r="262" ht="11.25" customHeight="1" x14ac:dyDescent="0.15"/>
    <row r="263" ht="11.25" customHeight="1" x14ac:dyDescent="0.15"/>
    <row r="264" ht="11.25" customHeight="1" x14ac:dyDescent="0.15"/>
    <row r="265" ht="11.25" customHeight="1" x14ac:dyDescent="0.15"/>
    <row r="266" ht="11.25" customHeight="1" x14ac:dyDescent="0.15"/>
    <row r="267" ht="11.25" customHeight="1" x14ac:dyDescent="0.15"/>
    <row r="268" ht="11.25" customHeight="1" x14ac:dyDescent="0.15"/>
    <row r="269" ht="11.25" customHeight="1" x14ac:dyDescent="0.15"/>
    <row r="270" ht="11.25" customHeight="1" x14ac:dyDescent="0.15"/>
    <row r="271" ht="11.25" customHeight="1" x14ac:dyDescent="0.15"/>
    <row r="272" ht="11.25" customHeight="1" x14ac:dyDescent="0.15"/>
    <row r="273" ht="11.25" customHeight="1" x14ac:dyDescent="0.15"/>
    <row r="274" ht="11.25" customHeight="1" x14ac:dyDescent="0.15"/>
    <row r="275" ht="11.25" customHeight="1" x14ac:dyDescent="0.15"/>
    <row r="276" ht="11.25" customHeight="1" x14ac:dyDescent="0.15"/>
    <row r="277" ht="11.25" customHeight="1" x14ac:dyDescent="0.15"/>
    <row r="278" ht="11.25" customHeight="1" x14ac:dyDescent="0.15"/>
    <row r="279" ht="11.25" customHeight="1" x14ac:dyDescent="0.15"/>
    <row r="280" ht="11.25" customHeight="1" x14ac:dyDescent="0.15"/>
    <row r="281" ht="11.25" customHeight="1" x14ac:dyDescent="0.15"/>
    <row r="282" ht="11.25" customHeight="1" x14ac:dyDescent="0.15"/>
    <row r="283" ht="11.25" customHeight="1" x14ac:dyDescent="0.15"/>
    <row r="284" ht="11.25" customHeight="1" x14ac:dyDescent="0.15"/>
    <row r="285" ht="11.25" customHeight="1" x14ac:dyDescent="0.15"/>
    <row r="286" ht="11.25" customHeight="1" x14ac:dyDescent="0.15"/>
    <row r="287" ht="11.25" customHeight="1" x14ac:dyDescent="0.15"/>
    <row r="288" ht="11.25" customHeight="1" x14ac:dyDescent="0.15"/>
    <row r="289" ht="11.25" customHeight="1" x14ac:dyDescent="0.15"/>
    <row r="290" ht="11.25" customHeight="1" x14ac:dyDescent="0.15"/>
    <row r="291" ht="11.25" customHeight="1" x14ac:dyDescent="0.15"/>
    <row r="292" ht="11.25" customHeight="1" x14ac:dyDescent="0.15"/>
    <row r="293" ht="11.25" customHeight="1" x14ac:dyDescent="0.15"/>
    <row r="294" ht="11.25" customHeight="1" x14ac:dyDescent="0.15"/>
    <row r="295" ht="11.25" customHeight="1" x14ac:dyDescent="0.15"/>
    <row r="296" ht="11.25" customHeight="1" x14ac:dyDescent="0.15"/>
    <row r="297" ht="11.25" customHeight="1" x14ac:dyDescent="0.15"/>
    <row r="298" ht="11.25" customHeight="1" x14ac:dyDescent="0.15"/>
    <row r="299" ht="11.25" customHeight="1" x14ac:dyDescent="0.15"/>
    <row r="300" ht="11.25" customHeight="1" x14ac:dyDescent="0.15"/>
    <row r="301" ht="11.25" customHeight="1" x14ac:dyDescent="0.15"/>
    <row r="302" ht="11.25" customHeight="1" x14ac:dyDescent="0.15"/>
    <row r="303" ht="11.25" customHeight="1" x14ac:dyDescent="0.15"/>
    <row r="304" ht="11.25" customHeight="1" x14ac:dyDescent="0.15"/>
    <row r="305" ht="11.25" customHeight="1" x14ac:dyDescent="0.15"/>
    <row r="306" ht="11.25" customHeight="1" x14ac:dyDescent="0.15"/>
    <row r="307" ht="11.25" customHeight="1" x14ac:dyDescent="0.15"/>
    <row r="308" ht="11.25" customHeight="1" x14ac:dyDescent="0.15"/>
    <row r="309" ht="11.25" customHeight="1" x14ac:dyDescent="0.15"/>
    <row r="310" ht="11.25" customHeight="1" x14ac:dyDescent="0.15"/>
    <row r="311" ht="11.25" customHeight="1" x14ac:dyDescent="0.15"/>
    <row r="312" ht="11.25" customHeight="1" x14ac:dyDescent="0.15"/>
    <row r="313" ht="11.25" customHeight="1" x14ac:dyDescent="0.15"/>
    <row r="314" ht="11.25" customHeight="1" x14ac:dyDescent="0.15"/>
    <row r="315" ht="11.25" customHeight="1" x14ac:dyDescent="0.15"/>
    <row r="316" ht="11.25" customHeight="1" x14ac:dyDescent="0.15"/>
    <row r="317" ht="11.25" customHeight="1" x14ac:dyDescent="0.15"/>
    <row r="318" ht="11.25" customHeight="1" x14ac:dyDescent="0.15"/>
    <row r="319" ht="11.25" customHeight="1" x14ac:dyDescent="0.15"/>
    <row r="320" ht="11.25" customHeight="1" x14ac:dyDescent="0.15"/>
    <row r="321" ht="11.25" customHeight="1" x14ac:dyDescent="0.15"/>
    <row r="322" ht="11.25" customHeight="1" x14ac:dyDescent="0.15"/>
    <row r="323" ht="11.25" customHeight="1" x14ac:dyDescent="0.15"/>
    <row r="324" ht="11.25" customHeight="1" x14ac:dyDescent="0.15"/>
    <row r="325" ht="11.25" customHeight="1" x14ac:dyDescent="0.15"/>
    <row r="326" ht="11.25" customHeight="1" x14ac:dyDescent="0.15"/>
    <row r="327" ht="11.25" customHeight="1" x14ac:dyDescent="0.15"/>
    <row r="328" ht="11.25" customHeight="1" x14ac:dyDescent="0.15"/>
    <row r="329" ht="11.25" customHeight="1" x14ac:dyDescent="0.15"/>
    <row r="330" ht="11.25" customHeight="1" x14ac:dyDescent="0.15"/>
    <row r="331" ht="11.25" customHeight="1" x14ac:dyDescent="0.15"/>
    <row r="332" ht="11.25" customHeight="1" x14ac:dyDescent="0.15"/>
    <row r="333" ht="11.25" customHeight="1" x14ac:dyDescent="0.15"/>
    <row r="334" ht="11.25" customHeight="1" x14ac:dyDescent="0.15"/>
    <row r="335" ht="11.25" customHeight="1" x14ac:dyDescent="0.15"/>
    <row r="336" ht="11.25" customHeight="1" x14ac:dyDescent="0.15"/>
    <row r="337" ht="11.25" customHeight="1" x14ac:dyDescent="0.15"/>
    <row r="338" ht="11.25" customHeight="1" x14ac:dyDescent="0.15"/>
    <row r="339" ht="11.25" customHeight="1" x14ac:dyDescent="0.15"/>
    <row r="340" ht="11.25" customHeight="1" x14ac:dyDescent="0.15"/>
    <row r="341" ht="11.25" customHeight="1" x14ac:dyDescent="0.15"/>
    <row r="342" ht="11.25" customHeight="1" x14ac:dyDescent="0.15"/>
    <row r="343" ht="11.25" customHeight="1" x14ac:dyDescent="0.15"/>
    <row r="344" ht="11.25" customHeight="1" x14ac:dyDescent="0.15"/>
    <row r="345" ht="11.25" customHeight="1" x14ac:dyDescent="0.15"/>
    <row r="346" ht="11.25" customHeight="1" x14ac:dyDescent="0.15"/>
    <row r="347" ht="11.25" customHeight="1" x14ac:dyDescent="0.15"/>
    <row r="348" ht="11.25" customHeight="1" x14ac:dyDescent="0.15"/>
    <row r="349" ht="11.25" customHeight="1" x14ac:dyDescent="0.15"/>
    <row r="350" ht="11.25" customHeight="1" x14ac:dyDescent="0.15"/>
    <row r="351" ht="11.25" customHeight="1" x14ac:dyDescent="0.15"/>
    <row r="352" ht="11.25" customHeight="1" x14ac:dyDescent="0.15"/>
    <row r="353" ht="11.25" customHeight="1" x14ac:dyDescent="0.15"/>
    <row r="354" ht="11.25" customHeight="1" x14ac:dyDescent="0.15"/>
    <row r="355" ht="11.25" customHeight="1" x14ac:dyDescent="0.15"/>
    <row r="356" ht="11.25" customHeight="1" x14ac:dyDescent="0.15"/>
    <row r="357" ht="11.25" customHeight="1" x14ac:dyDescent="0.15"/>
    <row r="358" ht="11.25" customHeight="1" x14ac:dyDescent="0.15"/>
    <row r="359" ht="11.25" customHeight="1" x14ac:dyDescent="0.15"/>
    <row r="360" ht="11.25" customHeight="1" x14ac:dyDescent="0.15"/>
    <row r="361" ht="11.25" customHeight="1" x14ac:dyDescent="0.15"/>
    <row r="362" ht="11.25" customHeight="1" x14ac:dyDescent="0.15"/>
    <row r="363" ht="11.25" customHeight="1" x14ac:dyDescent="0.15"/>
    <row r="364" ht="11.25" customHeight="1" x14ac:dyDescent="0.15"/>
    <row r="365" ht="11.25" customHeight="1" x14ac:dyDescent="0.15"/>
    <row r="366" ht="11.25" customHeight="1" x14ac:dyDescent="0.15"/>
    <row r="367" ht="11.25" customHeight="1" x14ac:dyDescent="0.15"/>
    <row r="368" ht="11.25" customHeight="1" x14ac:dyDescent="0.15"/>
    <row r="369" ht="11.25" customHeight="1" x14ac:dyDescent="0.15"/>
    <row r="370" ht="11.25" customHeight="1" x14ac:dyDescent="0.15"/>
    <row r="371" ht="11.25" customHeight="1" x14ac:dyDescent="0.15"/>
    <row r="372" ht="11.25" customHeight="1" x14ac:dyDescent="0.15"/>
    <row r="373" ht="11.25" customHeight="1" x14ac:dyDescent="0.15"/>
    <row r="374" ht="11.25" customHeight="1" x14ac:dyDescent="0.15"/>
    <row r="375" ht="11.25" customHeight="1" x14ac:dyDescent="0.15"/>
    <row r="376" ht="11.25" customHeight="1" x14ac:dyDescent="0.15"/>
    <row r="377" ht="11.25" customHeight="1" x14ac:dyDescent="0.15"/>
    <row r="378" ht="11.25" customHeight="1" x14ac:dyDescent="0.15"/>
    <row r="379" ht="11.25" customHeight="1" x14ac:dyDescent="0.15"/>
    <row r="380" ht="11.25" customHeight="1" x14ac:dyDescent="0.15"/>
    <row r="381" ht="11.25" customHeight="1" x14ac:dyDescent="0.15"/>
    <row r="382" ht="11.25" customHeight="1" x14ac:dyDescent="0.15"/>
    <row r="383" ht="11.25" customHeight="1" x14ac:dyDescent="0.15"/>
    <row r="384" ht="11.25" customHeight="1" x14ac:dyDescent="0.15"/>
    <row r="385" ht="11.25" customHeight="1" x14ac:dyDescent="0.15"/>
    <row r="386" ht="11.25" customHeight="1" x14ac:dyDescent="0.15"/>
    <row r="387" ht="11.25" customHeight="1" x14ac:dyDescent="0.15"/>
    <row r="388" ht="11.25" customHeight="1" x14ac:dyDescent="0.15"/>
    <row r="389" ht="11.25" customHeight="1" x14ac:dyDescent="0.15"/>
    <row r="390" ht="11.25" customHeight="1" x14ac:dyDescent="0.15"/>
    <row r="391" ht="11.25" customHeight="1" x14ac:dyDescent="0.15"/>
    <row r="392" ht="11.25" customHeight="1" x14ac:dyDescent="0.15"/>
    <row r="393" ht="11.25" customHeight="1" x14ac:dyDescent="0.15"/>
    <row r="394" ht="11.25" customHeight="1" x14ac:dyDescent="0.15"/>
    <row r="395" ht="11.25" customHeight="1" x14ac:dyDescent="0.15"/>
    <row r="396" ht="11.25" customHeight="1" x14ac:dyDescent="0.15"/>
    <row r="397" ht="11.25" customHeight="1" x14ac:dyDescent="0.15"/>
    <row r="398" ht="11.25" customHeight="1" x14ac:dyDescent="0.15"/>
    <row r="399" ht="11.25" customHeight="1" x14ac:dyDescent="0.15"/>
    <row r="400" ht="11.25" customHeight="1" x14ac:dyDescent="0.15"/>
    <row r="401" ht="11.25" customHeight="1" x14ac:dyDescent="0.15"/>
    <row r="402" ht="11.25" customHeight="1" x14ac:dyDescent="0.15"/>
    <row r="403" ht="11.25" customHeight="1" x14ac:dyDescent="0.15"/>
    <row r="404" ht="11.25" customHeight="1" x14ac:dyDescent="0.15"/>
    <row r="405" ht="11.25" customHeight="1" x14ac:dyDescent="0.15"/>
    <row r="406" ht="11.25" customHeight="1" x14ac:dyDescent="0.15"/>
    <row r="407" ht="11.25" customHeight="1" x14ac:dyDescent="0.15"/>
    <row r="408" ht="11.25" customHeight="1" x14ac:dyDescent="0.15"/>
    <row r="409" ht="11.25" customHeight="1" x14ac:dyDescent="0.15"/>
    <row r="410" ht="11.25" customHeight="1" x14ac:dyDescent="0.15"/>
    <row r="411" ht="11.25" customHeight="1" x14ac:dyDescent="0.15"/>
    <row r="412" ht="11.25" customHeight="1" x14ac:dyDescent="0.15"/>
    <row r="413" ht="11.25" customHeight="1" x14ac:dyDescent="0.15"/>
    <row r="414" ht="11.25" customHeight="1" x14ac:dyDescent="0.15"/>
    <row r="415" ht="11.25" customHeight="1" x14ac:dyDescent="0.15"/>
    <row r="416" ht="11.25" customHeight="1" x14ac:dyDescent="0.15"/>
    <row r="417" ht="11.25" customHeight="1" x14ac:dyDescent="0.15"/>
    <row r="418" ht="11.25" customHeight="1" x14ac:dyDescent="0.15"/>
    <row r="419" ht="11.25" customHeight="1" x14ac:dyDescent="0.15"/>
    <row r="420" ht="11.25" customHeight="1" x14ac:dyDescent="0.15"/>
    <row r="421" ht="11.25" customHeight="1" x14ac:dyDescent="0.15"/>
    <row r="422" ht="11.25" customHeight="1" x14ac:dyDescent="0.15"/>
    <row r="423" ht="11.25" customHeight="1" x14ac:dyDescent="0.15"/>
    <row r="424" ht="11.25" customHeight="1" x14ac:dyDescent="0.15"/>
    <row r="425" ht="11.25" customHeight="1" x14ac:dyDescent="0.15"/>
    <row r="426" ht="11.25" customHeight="1" x14ac:dyDescent="0.15"/>
    <row r="427" ht="11.25" customHeight="1" x14ac:dyDescent="0.15"/>
    <row r="428" ht="11.25" customHeight="1" x14ac:dyDescent="0.15"/>
    <row r="429" ht="11.25" customHeight="1" x14ac:dyDescent="0.15"/>
    <row r="430" ht="11.25" customHeight="1" x14ac:dyDescent="0.15"/>
    <row r="431" ht="11.25" customHeight="1" x14ac:dyDescent="0.15"/>
    <row r="432" ht="11.25" customHeight="1" x14ac:dyDescent="0.15"/>
    <row r="433" ht="11.25" customHeight="1" x14ac:dyDescent="0.15"/>
    <row r="434" ht="11.25" customHeight="1" x14ac:dyDescent="0.15"/>
    <row r="435" ht="11.25" customHeight="1" x14ac:dyDescent="0.15"/>
    <row r="436" ht="11.25" customHeight="1" x14ac:dyDescent="0.15"/>
    <row r="437" ht="11.25" customHeight="1" x14ac:dyDescent="0.15"/>
    <row r="438" ht="11.25" customHeight="1" x14ac:dyDescent="0.15"/>
    <row r="439" ht="11.25" customHeight="1" x14ac:dyDescent="0.15"/>
    <row r="440" ht="11.25" customHeight="1" x14ac:dyDescent="0.15"/>
    <row r="441" ht="11.25" customHeight="1" x14ac:dyDescent="0.15"/>
    <row r="442" ht="11.25" customHeight="1" x14ac:dyDescent="0.15"/>
    <row r="443" ht="11.25" customHeight="1" x14ac:dyDescent="0.15"/>
    <row r="444" ht="11.25" customHeight="1" x14ac:dyDescent="0.15"/>
    <row r="445" ht="11.25" customHeight="1" x14ac:dyDescent="0.15"/>
    <row r="446" ht="11.25" customHeight="1" x14ac:dyDescent="0.15"/>
    <row r="447" ht="11.25" customHeight="1" x14ac:dyDescent="0.15"/>
    <row r="448" ht="11.25" customHeight="1" x14ac:dyDescent="0.15"/>
    <row r="449" ht="11.25" customHeight="1" x14ac:dyDescent="0.15"/>
    <row r="450" ht="11.25" customHeight="1" x14ac:dyDescent="0.15"/>
    <row r="451" ht="11.25" customHeight="1" x14ac:dyDescent="0.15"/>
    <row r="452" ht="11.25" customHeight="1" x14ac:dyDescent="0.15"/>
    <row r="453" ht="11.25" customHeight="1" x14ac:dyDescent="0.15"/>
    <row r="454" ht="11.25" customHeight="1" x14ac:dyDescent="0.15"/>
    <row r="455" ht="11.25" customHeight="1" x14ac:dyDescent="0.15"/>
    <row r="456" ht="11.25" customHeight="1" x14ac:dyDescent="0.15"/>
    <row r="457" ht="11.25" customHeight="1" x14ac:dyDescent="0.15"/>
    <row r="458" ht="11.25" customHeight="1" x14ac:dyDescent="0.15"/>
    <row r="459" ht="11.25" customHeight="1" x14ac:dyDescent="0.15"/>
    <row r="460" ht="11.25" customHeight="1" x14ac:dyDescent="0.15"/>
    <row r="461" ht="11.25" customHeight="1" x14ac:dyDescent="0.15"/>
    <row r="462" ht="11.25" customHeight="1" x14ac:dyDescent="0.15"/>
    <row r="463" ht="11.25" customHeight="1" x14ac:dyDescent="0.15"/>
    <row r="464" ht="11.25" customHeight="1" x14ac:dyDescent="0.15"/>
    <row r="465" ht="11.25" customHeight="1" x14ac:dyDescent="0.15"/>
    <row r="466" ht="11.25" customHeight="1" x14ac:dyDescent="0.15"/>
    <row r="467" ht="11.25" customHeight="1" x14ac:dyDescent="0.15"/>
    <row r="468" ht="11.25" customHeight="1" x14ac:dyDescent="0.15"/>
    <row r="469" ht="11.25" customHeight="1" x14ac:dyDescent="0.15"/>
    <row r="470" ht="11.25" customHeight="1" x14ac:dyDescent="0.15"/>
    <row r="471" ht="11.25" customHeight="1" x14ac:dyDescent="0.15"/>
    <row r="472" ht="11.25" customHeight="1" x14ac:dyDescent="0.15"/>
    <row r="473" ht="11.25" customHeight="1" x14ac:dyDescent="0.15"/>
    <row r="474" ht="11.25" customHeight="1" x14ac:dyDescent="0.15"/>
    <row r="475" ht="11.25" customHeight="1" x14ac:dyDescent="0.15"/>
    <row r="476" ht="11.25" customHeight="1" x14ac:dyDescent="0.15"/>
    <row r="477" ht="11.25" customHeight="1" x14ac:dyDescent="0.15"/>
    <row r="478" ht="11.25" customHeight="1" x14ac:dyDescent="0.15"/>
    <row r="479" ht="11.25" customHeight="1" x14ac:dyDescent="0.15"/>
    <row r="480" ht="11.25" customHeight="1" x14ac:dyDescent="0.15"/>
    <row r="481" ht="11.25" customHeight="1" x14ac:dyDescent="0.15"/>
    <row r="482" ht="11.25" customHeight="1" x14ac:dyDescent="0.15"/>
    <row r="483" ht="11.25" customHeight="1" x14ac:dyDescent="0.15"/>
    <row r="484" ht="11.25" customHeight="1" x14ac:dyDescent="0.15"/>
    <row r="485" ht="11.25" customHeight="1" x14ac:dyDescent="0.15"/>
    <row r="486" ht="11.25" customHeight="1" x14ac:dyDescent="0.15"/>
    <row r="487" ht="11.25" customHeight="1" x14ac:dyDescent="0.15"/>
    <row r="488" ht="11.25" customHeight="1" x14ac:dyDescent="0.15"/>
    <row r="489" ht="11.25" customHeight="1" x14ac:dyDescent="0.15"/>
    <row r="490" ht="11.25" customHeight="1" x14ac:dyDescent="0.15"/>
    <row r="491" ht="11.25" customHeight="1" x14ac:dyDescent="0.15"/>
    <row r="492" ht="11.25" customHeight="1" x14ac:dyDescent="0.15"/>
    <row r="493" ht="11.25" customHeight="1" x14ac:dyDescent="0.15"/>
    <row r="494" ht="11.25" customHeight="1" x14ac:dyDescent="0.15"/>
    <row r="495" ht="11.25" customHeight="1" x14ac:dyDescent="0.15"/>
    <row r="496" ht="11.25" customHeight="1" x14ac:dyDescent="0.15"/>
    <row r="497" ht="11.25" customHeight="1" x14ac:dyDescent="0.15"/>
    <row r="498" ht="11.25" customHeight="1" x14ac:dyDescent="0.15"/>
    <row r="499" ht="11.25" customHeight="1" x14ac:dyDescent="0.15"/>
    <row r="500" ht="11.25" customHeight="1" x14ac:dyDescent="0.15"/>
    <row r="501" ht="11.25" customHeight="1" x14ac:dyDescent="0.15"/>
    <row r="502" ht="11.25" customHeight="1" x14ac:dyDescent="0.15"/>
    <row r="503" ht="11.25" customHeight="1" x14ac:dyDescent="0.15"/>
    <row r="504" ht="11.25" customHeight="1" x14ac:dyDescent="0.15"/>
    <row r="505" ht="11.25" customHeight="1" x14ac:dyDescent="0.15"/>
    <row r="506" ht="11.25" customHeight="1" x14ac:dyDescent="0.15"/>
    <row r="507" ht="11.25" customHeight="1" x14ac:dyDescent="0.15"/>
    <row r="508" ht="11.25" customHeight="1" x14ac:dyDescent="0.15"/>
  </sheetData>
  <mergeCells count="11">
    <mergeCell ref="AF3:AI3"/>
    <mergeCell ref="E1:O1"/>
    <mergeCell ref="R1:X1"/>
    <mergeCell ref="AA1:AE1"/>
    <mergeCell ref="AF1:AI1"/>
    <mergeCell ref="E2:O2"/>
    <mergeCell ref="R2:X3"/>
    <mergeCell ref="AA2:AE2"/>
    <mergeCell ref="AF2:AI2"/>
    <mergeCell ref="E3:O3"/>
    <mergeCell ref="AA3:AE3"/>
  </mergeCells>
  <phoneticPr fontId="2"/>
  <hyperlinks>
    <hyperlink ref="F51" r:id="rId1" location="mail-request" xr:uid="{7F374098-5A98-4E90-82A7-CEA6FCC88E5A}"/>
  </hyperlinks>
  <pageMargins left="0.7" right="0.7" top="0.75" bottom="0.75" header="0.3" footer="0.3"/>
  <pageSetup paperSize="9" fitToHeight="0" orientation="landscape" r:id="rId2"/>
  <rowBreaks count="4" manualBreakCount="4">
    <brk id="21" max="34" man="1"/>
    <brk id="52" max="34" man="1"/>
    <brk id="78" max="34" man="1"/>
    <brk id="106" max="3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6.3.メール送信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2019-02-20T11:22:16Z</dcterms:created>
  <dcterms:modified xsi:type="dcterms:W3CDTF">2025-04-21T02:00:16Z</dcterms:modified>
</cp:coreProperties>
</file>