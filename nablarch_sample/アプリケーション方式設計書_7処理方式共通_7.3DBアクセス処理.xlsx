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AC65C0F7-15BC-405F-B973-2FC8CCDAE96F}" xr6:coauthVersionLast="47" xr6:coauthVersionMax="47" xr10:uidLastSave="{00000000-0000-0000-0000-000000000000}"/>
  <bookViews>
    <workbookView xWindow="1245" yWindow="-120" windowWidth="27675" windowHeight="16440" xr2:uid="{00000000-000D-0000-FFFF-FFFF00000000}"/>
  </bookViews>
  <sheets>
    <sheet name="7.3.DBアクセス処理"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 l="1"/>
  <c r="F41" i="2"/>
  <c r="F26" i="2"/>
  <c r="G110" i="2" l="1"/>
  <c r="G181" i="2"/>
  <c r="G180" i="2"/>
  <c r="G179" i="2"/>
  <c r="G168" i="2"/>
  <c r="G167" i="2"/>
  <c r="G162" i="2"/>
  <c r="G122" i="2"/>
  <c r="G121" i="2"/>
  <c r="G117" i="2"/>
  <c r="G109" i="2"/>
  <c r="G104" i="2"/>
  <c r="G98" i="2"/>
  <c r="C7" i="2"/>
  <c r="F10" i="2"/>
  <c r="D46" i="2" l="1"/>
  <c r="E76" i="2" s="1"/>
  <c r="D9" i="2"/>
  <c r="D87" i="2"/>
  <c r="D25" i="2"/>
  <c r="E61" i="2" l="1"/>
  <c r="E47" i="2"/>
  <c r="E41" i="2"/>
  <c r="E26" i="2"/>
  <c r="E10" i="2"/>
  <c r="E17" i="2"/>
  <c r="E116" i="2"/>
  <c r="E103" i="2"/>
  <c r="E97" i="2"/>
  <c r="F98" i="2" s="1"/>
  <c r="E161" i="2"/>
  <c r="E88" i="2"/>
  <c r="F89" i="2" s="1"/>
  <c r="F152" i="2" l="1"/>
  <c r="F121" i="2"/>
  <c r="F117" i="2"/>
  <c r="F167" i="2"/>
  <c r="F162" i="2"/>
  <c r="F104" i="2"/>
  <c r="F109" i="2"/>
</calcChain>
</file>

<file path=xl/sharedStrings.xml><?xml version="1.0" encoding="utf-8"?>
<sst xmlns="http://schemas.openxmlformats.org/spreadsheetml/2006/main" count="198" uniqueCount="181">
  <si>
    <t>プロジェクト名</t>
    <phoneticPr fontId="3"/>
  </si>
  <si>
    <t>工程</t>
    <rPh sb="0" eb="2">
      <t>コウテイ</t>
    </rPh>
    <phoneticPr fontId="5"/>
  </si>
  <si>
    <t>要件定義</t>
    <rPh sb="0" eb="4">
      <t>ヨウケンテイギ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</si>
  <si>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</si>
  <si>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</si>
  <si>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</si>
  <si>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</si>
  <si>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</si>
  <si>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</si>
  <si>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</si>
  <si>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</si>
  <si>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rPh sb="0" eb="2">
      <t>ショリ</t>
    </rPh>
    <rPh sb="2" eb="4">
      <t>ホウシキ</t>
    </rPh>
    <rPh sb="4" eb="6">
      <t>キョウツウ</t>
    </rPh>
    <phoneticPr fontId="2"/>
  </si>
  <si>
    <t>DBアクセス処理</t>
    <rPh sb="6" eb="8">
      <t>ショリ</t>
    </rPh>
    <phoneticPr fontId="2"/>
  </si>
  <si>
    <t>コネクション</t>
    <phoneticPr fontId="2"/>
  </si>
  <si>
    <t>データベース接続を確立する際の初期化処理には、比較的大きなコストを要する。</t>
    <phoneticPr fontId="2"/>
  </si>
  <si>
    <t>（TCPハンドシェイクをはじめとしたネットワーク処理、接続を管理するオブジェクトの生成、作業領域の初期化など。）</t>
    <phoneticPr fontId="2"/>
  </si>
  <si>
    <t>このため、コネクションの初期化回数を低減させることは性能面の大幅な改善につながる。</t>
    <phoneticPr fontId="2"/>
  </si>
  <si>
    <t>しかし、アイドル状態のコネクションを保持する分メモリリソースを消費するため、</t>
    <rPh sb="18" eb="20">
      <t>ホジ</t>
    </rPh>
    <rPh sb="22" eb="23">
      <t>ブン</t>
    </rPh>
    <phoneticPr fontId="2"/>
  </si>
  <si>
    <t>アプリケーションに適したコネクション方式を選択する必要がある。</t>
    <phoneticPr fontId="2"/>
  </si>
  <si>
    <t>対象</t>
    <rPh sb="0" eb="2">
      <t>タイショウ</t>
    </rPh>
    <phoneticPr fontId="2"/>
  </si>
  <si>
    <t>管理方式</t>
    <rPh sb="0" eb="4">
      <t>カンリホウシキ</t>
    </rPh>
    <phoneticPr fontId="2"/>
  </si>
  <si>
    <t>内容</t>
  </si>
  <si>
    <t>画面処理</t>
    <rPh sb="0" eb="2">
      <t>ガメン</t>
    </rPh>
    <rPh sb="2" eb="4">
      <t>ショリ</t>
    </rPh>
    <phoneticPr fontId="2"/>
  </si>
  <si>
    <t>コネクションプールで保持</t>
    <phoneticPr fontId="2"/>
  </si>
  <si>
    <t>不特定多数のユーザが参照機能など短いトランザクションを多く生成するため。</t>
    <phoneticPr fontId="2"/>
  </si>
  <si>
    <t>バッチ処理</t>
    <rPh sb="3" eb="5">
      <t>ショリ</t>
    </rPh>
    <phoneticPr fontId="2"/>
  </si>
  <si>
    <t>プロセス単位で作成</t>
    <phoneticPr fontId="2"/>
  </si>
  <si>
    <t>一プロセスで複数トランザクションがあるときのコネクション初期化の</t>
    <rPh sb="28" eb="31">
      <t>ショキカ</t>
    </rPh>
    <phoneticPr fontId="2"/>
  </si>
  <si>
    <t>オーバーヘッドを回避するため。</t>
  </si>
  <si>
    <t>コネクションの数には限りがあるため、機能ごとに同時接続数の上限を設ける。</t>
    <rPh sb="7" eb="8">
      <t>カズ</t>
    </rPh>
    <rPh sb="10" eb="11">
      <t>カギ</t>
    </rPh>
    <rPh sb="18" eb="20">
      <t>キノウ</t>
    </rPh>
    <rPh sb="23" eb="25">
      <t>ドウジ</t>
    </rPh>
    <rPh sb="25" eb="27">
      <t>セツゾク</t>
    </rPh>
    <rPh sb="27" eb="28">
      <t>スウ</t>
    </rPh>
    <rPh sb="29" eb="31">
      <t>ジョウゲン</t>
    </rPh>
    <rPh sb="32" eb="33">
      <t>モウ</t>
    </rPh>
    <phoneticPr fontId="2"/>
  </si>
  <si>
    <t>入力処理(REST)</t>
    <rPh sb="0" eb="2">
      <t>ニュウリョク</t>
    </rPh>
    <rPh sb="2" eb="4">
      <t>ショリ</t>
    </rPh>
    <phoneticPr fontId="2"/>
  </si>
  <si>
    <t>短時間で複数のリクエストを受け付け、短いトランザクションを多く生成するため。</t>
    <rPh sb="0" eb="3">
      <t>タンジカン</t>
    </rPh>
    <rPh sb="4" eb="6">
      <t>フクスウ</t>
    </rPh>
    <rPh sb="13" eb="14">
      <t>ウ</t>
    </rPh>
    <rPh sb="15" eb="16">
      <t>ツ</t>
    </rPh>
    <rPh sb="18" eb="19">
      <t>ミジカ</t>
    </rPh>
    <rPh sb="29" eb="30">
      <t>オオ</t>
    </rPh>
    <rPh sb="31" eb="33">
      <t>セイセイ</t>
    </rPh>
    <phoneticPr fontId="2"/>
  </si>
  <si>
    <t>データベース接続</t>
    <rPh sb="6" eb="8">
      <t>セツゾク</t>
    </rPh>
    <phoneticPr fontId="2"/>
  </si>
  <si>
    <t>アプリケーションは、データソースを参照してデータベースにアクセスする。</t>
    <phoneticPr fontId="2"/>
  </si>
  <si>
    <t>そうすることで、アプリケーションでJDBCドライバーのロードなどを行う必要はなくなり、</t>
    <phoneticPr fontId="2"/>
  </si>
  <si>
    <t>データベースに依存する部分がデータソースに吸収されるため、プログラムの可搬性も向上する。</t>
    <phoneticPr fontId="2"/>
  </si>
  <si>
    <t>データソースは、各処理方式ごとに異なる方法で管理する。</t>
    <rPh sb="8" eb="9">
      <t>カク</t>
    </rPh>
    <rPh sb="9" eb="11">
      <t>ショリ</t>
    </rPh>
    <rPh sb="11" eb="13">
      <t>ホウシキ</t>
    </rPh>
    <rPh sb="16" eb="17">
      <t>コト</t>
    </rPh>
    <rPh sb="19" eb="21">
      <t>ホウホウ</t>
    </rPh>
    <rPh sb="22" eb="24">
      <t>カンリ</t>
    </rPh>
    <phoneticPr fontId="2"/>
  </si>
  <si>
    <t>画面処理と入力処理(REST)では、あらかじめTomcatにデータソースを定義しておき、JNDIルックアップして使用する。</t>
    <rPh sb="0" eb="2">
      <t>ガメン</t>
    </rPh>
    <rPh sb="2" eb="4">
      <t>ショリ</t>
    </rPh>
    <rPh sb="5" eb="9">
      <t>ニュウリョクショリ</t>
    </rPh>
    <rPh sb="37" eb="39">
      <t>テイギ</t>
    </rPh>
    <rPh sb="56" eb="58">
      <t>シヨウ</t>
    </rPh>
    <phoneticPr fontId="2"/>
  </si>
  <si>
    <t>一方バッチ処理では、アプリケーション内部でデータソースを作成して使用する。</t>
    <rPh sb="0" eb="2">
      <t>イッポウ</t>
    </rPh>
    <rPh sb="5" eb="7">
      <t>ショリ</t>
    </rPh>
    <rPh sb="18" eb="20">
      <t>ナイブ</t>
    </rPh>
    <rPh sb="28" eb="30">
      <t>サクセイ</t>
    </rPh>
    <rPh sb="32" eb="34">
      <t>シヨウ</t>
    </rPh>
    <phoneticPr fontId="2"/>
  </si>
  <si>
    <t>アプリケーション内部でデータソースを作成する場合は、configファイルにデータソースの以下を設定することで実現できる。</t>
    <rPh sb="8" eb="10">
      <t>ナイブ</t>
    </rPh>
    <rPh sb="18" eb="20">
      <t>サクセイ</t>
    </rPh>
    <rPh sb="22" eb="24">
      <t>バアイ</t>
    </rPh>
    <phoneticPr fontId="2"/>
  </si>
  <si>
    <t>・</t>
    <phoneticPr fontId="2"/>
  </si>
  <si>
    <t>接続先のデータベース名</t>
  </si>
  <si>
    <t>データベースサーバのホスト名およびポート番号</t>
    <phoneticPr fontId="2"/>
  </si>
  <si>
    <t>JDBCドライバー名</t>
  </si>
  <si>
    <t>アプリケーションからの接続においては、必要最小限の権限をもつアプリケーション接続用のアカウントを使用する。</t>
    <rPh sb="38" eb="40">
      <t>セツゾク</t>
    </rPh>
    <rPh sb="40" eb="41">
      <t>ヨウ</t>
    </rPh>
    <phoneticPr fontId="2"/>
  </si>
  <si>
    <t>アプリケーション接続用のユーザのみを利用し、DBMSの管理者アカウントやオブジェクト所有者アカウントを利用してのアクセスを禁止する。</t>
    <rPh sb="8" eb="11">
      <t>セツゾクヨウ</t>
    </rPh>
    <rPh sb="18" eb="20">
      <t>リヨウ</t>
    </rPh>
    <rPh sb="61" eb="63">
      <t>キンシ</t>
    </rPh>
    <phoneticPr fontId="2"/>
  </si>
  <si>
    <t>SQL文の生成</t>
    <rPh sb="3" eb="4">
      <t>ブン</t>
    </rPh>
    <rPh sb="5" eb="7">
      <t>セイセイ</t>
    </rPh>
    <phoneticPr fontId="2"/>
  </si>
  <si>
    <t>プリペアードステートメントによるSQL文の実行</t>
    <phoneticPr fontId="2"/>
  </si>
  <si>
    <t>プリペアードステートメントとは埋め込みパラメータを含むSQLのテンプレート（プリペアードステートメント）とそこに埋め込まれる</t>
    <phoneticPr fontId="2"/>
  </si>
  <si>
    <t>各パラメータの値を、データベースに送信し実行する方式である。</t>
    <phoneticPr fontId="2"/>
  </si>
  <si>
    <t>プリペアードステートメントを用いると、同じSQLに対しては初回に作成された実行計画が再利用されるため、</t>
    <rPh sb="14" eb="15">
      <t>モチ</t>
    </rPh>
    <rPh sb="19" eb="20">
      <t>オナ</t>
    </rPh>
    <rPh sb="25" eb="26">
      <t>タイ</t>
    </rPh>
    <rPh sb="29" eb="31">
      <t>ショカイ</t>
    </rPh>
    <rPh sb="32" eb="34">
      <t>サクセイ</t>
    </rPh>
    <rPh sb="37" eb="41">
      <t>ジッコウケイカク</t>
    </rPh>
    <rPh sb="42" eb="45">
      <t>サイリヨウ</t>
    </rPh>
    <phoneticPr fontId="2"/>
  </si>
  <si>
    <t>SQLの解析負荷を下げることができる。</t>
    <rPh sb="4" eb="6">
      <t>カイセキ</t>
    </rPh>
    <rPh sb="6" eb="8">
      <t>フカ</t>
    </rPh>
    <rPh sb="9" eb="10">
      <t>サ</t>
    </rPh>
    <phoneticPr fontId="2"/>
  </si>
  <si>
    <t>また、SQLのテンプレートとパラメータを分離してデータベースに送信するため、SQLインジェクションの対策となる。</t>
    <rPh sb="20" eb="22">
      <t>ブンリ</t>
    </rPh>
    <rPh sb="31" eb="33">
      <t>ソウシン</t>
    </rPh>
    <rPh sb="50" eb="52">
      <t>タイサク</t>
    </rPh>
    <phoneticPr fontId="2"/>
  </si>
  <si>
    <t>さらに、プリペアードステートメントのSQL文自体がプログラム内で動的に作成されることを防ぐために、外部の静的ファイルに記述された</t>
    <phoneticPr fontId="2"/>
  </si>
  <si>
    <t>SQLの識別子を指定して実行する方式を採る。これにより、SQLインジェクションの成立を完全に防ぐことができる。</t>
    <phoneticPr fontId="2"/>
  </si>
  <si>
    <t>本システムでは、プリペアードステートメントによるSQL実行を標準とする。また、セキュリティ確保のため、プログラム内にSQLを直接</t>
    <phoneticPr fontId="2"/>
  </si>
  <si>
    <t>記述することを禁止する。SQLは全て外部ファイルに記述し、NablarchのSQLステートメント実行機能を使って実行すること。</t>
    <phoneticPr fontId="2"/>
  </si>
  <si>
    <t>動的SQLステートメント</t>
    <phoneticPr fontId="2"/>
  </si>
  <si>
    <t>前節で述べたように、プログラム内でSQLステートメントを構築することは、セキュリティ上の問題を誘発しやすい。</t>
  </si>
  <si>
    <t>また、最終的なSQLの形が予測しづらいために、性能上の問題を抱えたクエリの検知が難しいという欠点がある。</t>
  </si>
  <si>
    <t>しかし要件上、SQL文の動的な構成が不可避な場合がある。たとえば、複数の条件の中から任意の項目を選択して絞込みができる</t>
    <phoneticPr fontId="2"/>
  </si>
  <si>
    <t>検索機能などがそれにあたる。</t>
    <phoneticPr fontId="2"/>
  </si>
  <si>
    <t>本方式では、動的なSQLステートメントの構成が不可避な場合でも、NablarchのDBアクセス機能でSQL文の構成を行うことで、</t>
    <phoneticPr fontId="2"/>
  </si>
  <si>
    <t>静的なステートメントを使用した場合と同等のセキュリティを維持する。</t>
    <phoneticPr fontId="2"/>
  </si>
  <si>
    <t>本システムにおいて、要件的に静的なSQLステートメントが利用できない場合は、Nablarchが提供するSQL拡張構文による</t>
    <phoneticPr fontId="2"/>
  </si>
  <si>
    <t>SQLステートメント動的生成機能を利用する。</t>
    <phoneticPr fontId="2"/>
  </si>
  <si>
    <t>なお、拡張構文の対象としているのは、WHERE句以下の条件文のみであるため、更新処理において対象カラムが動的に変わる場合は、</t>
    <phoneticPr fontId="2"/>
  </si>
  <si>
    <t>更新対象となりうる全てのカラムを、UPDATE文のカラムリストに指定し、更新しないカラムについては、更新前の値をそのまま</t>
    <phoneticPr fontId="2"/>
  </si>
  <si>
    <t>VALUES句に指定する。</t>
    <phoneticPr fontId="2"/>
  </si>
  <si>
    <t>LIKE条件を含むクエリの扱い</t>
    <phoneticPr fontId="2"/>
  </si>
  <si>
    <t>SQL文中のWHERE句にLIKE条件が指定されていた場合、文字列中の”%”, “_(アンダースコア)”はワイルドカードを表す特殊文字として</t>
    <phoneticPr fontId="2"/>
  </si>
  <si>
    <t>扱われるため、通常の文字列リテラルとは異なるエスケープ処理が必要となり、不具合の原因となり易い。</t>
    <phoneticPr fontId="2"/>
  </si>
  <si>
    <t>本処理方式では、この問題を避けるため、NablarchのDBアクセス機能でこれらのエスケープ処理を行うものとする。Nablarchの</t>
    <phoneticPr fontId="2"/>
  </si>
  <si>
    <t>DBアクセス機能では、以下のようにLIKE条件を記述することで、LIKE条件のエスケープ処理を透過的に行うことができる。</t>
    <phoneticPr fontId="2"/>
  </si>
  <si>
    <r>
      <t>… LIKE :</t>
    </r>
    <r>
      <rPr>
        <sz val="9"/>
        <color rgb="FFFF0000"/>
        <rFont val="ＭＳ 明朝"/>
        <family val="1"/>
        <charset val="128"/>
      </rPr>
      <t>%</t>
    </r>
    <r>
      <rPr>
        <sz val="9"/>
        <color theme="1"/>
        <rFont val="ＭＳ 明朝"/>
        <family val="1"/>
        <charset val="128"/>
      </rPr>
      <t>user_name</t>
    </r>
    <r>
      <rPr>
        <sz val="9"/>
        <color rgb="FFFF0000"/>
        <rFont val="ＭＳ 明朝"/>
        <family val="1"/>
        <charset val="128"/>
      </rPr>
      <t>%</t>
    </r>
    <phoneticPr fontId="2"/>
  </si>
  <si>
    <t>※埋め込みパラメータ user_name の前後に "%" を付ける例</t>
    <rPh sb="1" eb="2">
      <t>ウ</t>
    </rPh>
    <rPh sb="3" eb="4">
      <t>コ</t>
    </rPh>
    <rPh sb="22" eb="24">
      <t>ゼンゴ</t>
    </rPh>
    <rPh sb="31" eb="32">
      <t>ツ</t>
    </rPh>
    <rPh sb="34" eb="35">
      <t>レイ</t>
    </rPh>
    <phoneticPr fontId="2"/>
  </si>
  <si>
    <t>本システムにおいてLIKE条件を使用する場合は、必ずこの形式で記述するものとする。</t>
  </si>
  <si>
    <t>トランザクション制御</t>
    <rPh sb="8" eb="10">
      <t>セイギョ</t>
    </rPh>
    <phoneticPr fontId="2"/>
  </si>
  <si>
    <t>トランザクションの開始と終了</t>
    <rPh sb="9" eb="11">
      <t>カイシ</t>
    </rPh>
    <rPh sb="12" eb="14">
      <t>シュウリョウ</t>
    </rPh>
    <phoneticPr fontId="2"/>
  </si>
  <si>
    <t>Nablarchでのトランザクション管理</t>
    <rPh sb="18" eb="20">
      <t>カンリ</t>
    </rPh>
    <phoneticPr fontId="2"/>
  </si>
  <si>
    <t>各業務処理におけるトランザクションの開始と終了は、原則としてNablarchのトランザクション機能で制御し、</t>
    <phoneticPr fontId="2"/>
  </si>
  <si>
    <t>業務コンポーネントではトランザクションを直接操作することはしない。</t>
  </si>
  <si>
    <t>これは一般に透過的トランザクション制御と呼ばれる手法で、不適切なトランザクション制御に起因する不具合を防止するとともに、</t>
    <phoneticPr fontId="2"/>
  </si>
  <si>
    <t>開発効率の向上につながる。</t>
  </si>
  <si>
    <t>Nablarchのトランザクション管理機能では、透過的トランザクションをサポートしており、これを利用してトランザクション制御を行う。</t>
  </si>
  <si>
    <t>また、トランザクションスコープは、1リクエスト処理内で完結することとする。</t>
    <rPh sb="23" eb="25">
      <t>ショリ</t>
    </rPh>
    <phoneticPr fontId="2"/>
  </si>
  <si>
    <t>トランザクション分離レベル</t>
    <rPh sb="8" eb="10">
      <t>ブンリ</t>
    </rPh>
    <phoneticPr fontId="2"/>
  </si>
  <si>
    <t>方針</t>
    <rPh sb="0" eb="2">
      <t>ホウシン</t>
    </rPh>
    <phoneticPr fontId="2"/>
  </si>
  <si>
    <t>内容</t>
    <rPh sb="0" eb="2">
      <t>ナイヨウ</t>
    </rPh>
    <phoneticPr fontId="2"/>
  </si>
  <si>
    <t>READ COMMITTED</t>
    <phoneticPr fontId="2"/>
  </si>
  <si>
    <t>ユーザビリティの面から、ファジーリード・ファントムリードを許容する。</t>
    <rPh sb="8" eb="9">
      <t>メン</t>
    </rPh>
    <rPh sb="29" eb="31">
      <t>キョヨウ</t>
    </rPh>
    <phoneticPr fontId="2"/>
  </si>
  <si>
    <t>処理タイムアウト</t>
    <rPh sb="0" eb="2">
      <t>ショリ</t>
    </rPh>
    <phoneticPr fontId="2"/>
  </si>
  <si>
    <t>処理が長時間化すると、CPUやメモリをその分消費する。</t>
  </si>
  <si>
    <t>特に画面処理やメッセージ同期応答処理のように、接続先側が一定時間で応答待ちタイムアウトをしてしまう場合、</t>
    <phoneticPr fontId="2"/>
  </si>
  <si>
    <t>リソースの消費が無駄となる。また、処理の長時間化の原因は、データベースアクセス処理が主である。</t>
    <phoneticPr fontId="2"/>
  </si>
  <si>
    <t>方法</t>
    <rPh sb="0" eb="2">
      <t>ホウホウ</t>
    </rPh>
    <phoneticPr fontId="2"/>
  </si>
  <si>
    <t>特徴</t>
  </si>
  <si>
    <t>クエリタイムアウト</t>
    <phoneticPr fontId="2"/>
  </si>
  <si>
    <t>SQL発行後、一定時間応答がない場合に、タイムアウトエラーを発生させる。</t>
  </si>
  <si>
    <t>DBロックタイムアウト</t>
    <phoneticPr fontId="2"/>
  </si>
  <si>
    <t>他の処理が長時間ロックを保有し続け、一定時間応答がない場合に、</t>
    <phoneticPr fontId="2"/>
  </si>
  <si>
    <t>DBロックタイムアウトエラーを発生させる。</t>
  </si>
  <si>
    <t>排他制御</t>
    <rPh sb="0" eb="2">
      <t>ハイタ</t>
    </rPh>
    <rPh sb="2" eb="4">
      <t>セイギョ</t>
    </rPh>
    <phoneticPr fontId="2"/>
  </si>
  <si>
    <t>楽観的ロック</t>
    <phoneticPr fontId="2"/>
  </si>
  <si>
    <t>データ検索時にはロックを取得せず、更新時に更新対象のデータが他の処理によって更新されたかを確認し、</t>
    <phoneticPr fontId="2"/>
  </si>
  <si>
    <t>更新が行われていた場合は、更新を中止する。</t>
  </si>
  <si>
    <t>ロックを取得する必要はないが、更新に失敗する可能性がある。</t>
  </si>
  <si>
    <t>悲観的ロック</t>
    <phoneticPr fontId="2"/>
  </si>
  <si>
    <t>データ検索から更新までの間、更新対象データのロックを取得し続け、</t>
    <phoneticPr fontId="2"/>
  </si>
  <si>
    <t>更新が完了したタイミングでロックを解除する。</t>
  </si>
  <si>
    <t>ロックを取得する時間は長くなるが、更新処理は確実に成功する手法である。</t>
  </si>
  <si>
    <t>上記の特徴を踏まえ、本システムでの選択基準を以下に示す。</t>
    <phoneticPr fontId="2"/>
  </si>
  <si>
    <t>処理方式</t>
    <rPh sb="0" eb="2">
      <t>ショリ</t>
    </rPh>
    <rPh sb="2" eb="4">
      <t>ホウシキ</t>
    </rPh>
    <phoneticPr fontId="2"/>
  </si>
  <si>
    <t>方針</t>
  </si>
  <si>
    <t>理由</t>
    <rPh sb="0" eb="2">
      <t>リユウ</t>
    </rPh>
    <phoneticPr fontId="2"/>
  </si>
  <si>
    <t>画面処理方式</t>
    <rPh sb="0" eb="2">
      <t>ガメン</t>
    </rPh>
    <rPh sb="2" eb="4">
      <t>ショリ</t>
    </rPh>
    <rPh sb="4" eb="6">
      <t>ホウシキ</t>
    </rPh>
    <phoneticPr fontId="2"/>
  </si>
  <si>
    <t>画面処理方式では、不特定多数のユーザから参照や更新などの処理が適宜実行されるため、</t>
    <rPh sb="0" eb="2">
      <t>ガメン</t>
    </rPh>
    <rPh sb="2" eb="4">
      <t>ショリ</t>
    </rPh>
    <rPh sb="4" eb="6">
      <t>ホウシキ</t>
    </rPh>
    <rPh sb="9" eb="14">
      <t>フトクテイタスウ</t>
    </rPh>
    <rPh sb="20" eb="22">
      <t>サンショウ</t>
    </rPh>
    <rPh sb="23" eb="25">
      <t>コウシン</t>
    </rPh>
    <rPh sb="28" eb="30">
      <t>ショリ</t>
    </rPh>
    <rPh sb="31" eb="33">
      <t>テキギ</t>
    </rPh>
    <rPh sb="33" eb="35">
      <t>ジッコウ</t>
    </rPh>
    <phoneticPr fontId="2"/>
  </si>
  <si>
    <t>バッチ処理方式</t>
    <rPh sb="3" eb="5">
      <t>ショリ</t>
    </rPh>
    <rPh sb="5" eb="7">
      <t>ホウシキ</t>
    </rPh>
    <phoneticPr fontId="2"/>
  </si>
  <si>
    <t>更新処理を確実に行うため。</t>
    <rPh sb="0" eb="2">
      <t>コウシン</t>
    </rPh>
    <rPh sb="2" eb="4">
      <t>ショリ</t>
    </rPh>
    <rPh sb="5" eb="7">
      <t>カクジツ</t>
    </rPh>
    <rPh sb="8" eb="9">
      <t>オコナ</t>
    </rPh>
    <phoneticPr fontId="2"/>
  </si>
  <si>
    <t>バッチ処理方式で悲観的ロックしたことによる画面処理方式の更新の失敗は許容する。</t>
  </si>
  <si>
    <t>本システムでの実現方針を以下に示す。</t>
    <rPh sb="7" eb="9">
      <t>ジツゲン</t>
    </rPh>
    <rPh sb="9" eb="11">
      <t>ホウシン</t>
    </rPh>
    <phoneticPr fontId="2"/>
  </si>
  <si>
    <t>楽観的ロック</t>
    <rPh sb="0" eb="2">
      <t>ラッカン</t>
    </rPh>
    <rPh sb="2" eb="3">
      <t>テキ</t>
    </rPh>
    <phoneticPr fontId="2"/>
  </si>
  <si>
    <t>ユニバーサルDAO</t>
    <phoneticPr fontId="2"/>
  </si>
  <si>
    <t>ユニバーサルDAOでは、 @Version が付いているEntityを更新した場合、</t>
    <phoneticPr fontId="2"/>
  </si>
  <si>
    <t>の楽観的ロック機能</t>
    <rPh sb="1" eb="3">
      <t>ラッカン</t>
    </rPh>
    <rPh sb="3" eb="4">
      <t>テキ</t>
    </rPh>
    <rPh sb="7" eb="9">
      <t>キノウ</t>
    </rPh>
    <phoneticPr fontId="2"/>
  </si>
  <si>
    <t>を利用</t>
    <rPh sb="1" eb="3">
      <t>リヨウ</t>
    </rPh>
    <phoneticPr fontId="2"/>
  </si>
  <si>
    <t>悲観的ロック</t>
    <rPh sb="0" eb="2">
      <t>ヒカン</t>
    </rPh>
    <rPh sb="2" eb="3">
      <t>テキ</t>
    </rPh>
    <phoneticPr fontId="2"/>
  </si>
  <si>
    <t>データベースの</t>
    <phoneticPr fontId="2"/>
  </si>
  <si>
    <t>ユニバーサルDAOでは、 悲観的ロックの機能を特に提供していないため、</t>
    <rPh sb="13" eb="16">
      <t>ヒカンテキ</t>
    </rPh>
    <rPh sb="20" eb="22">
      <t>キノウ</t>
    </rPh>
    <rPh sb="23" eb="24">
      <t>トク</t>
    </rPh>
    <rPh sb="25" eb="27">
      <t>テイキョウ</t>
    </rPh>
    <phoneticPr fontId="2"/>
  </si>
  <si>
    <t>行ロックを行う</t>
    <rPh sb="5" eb="6">
      <t>オコナ</t>
    </rPh>
    <phoneticPr fontId="2"/>
  </si>
  <si>
    <t>データベースの行ロック（select for update）を使用することで行う。</t>
    <phoneticPr fontId="2"/>
  </si>
  <si>
    <t>排他制御単位</t>
    <rPh sb="0" eb="2">
      <t>ハイタ</t>
    </rPh>
    <rPh sb="2" eb="4">
      <t>セイギョ</t>
    </rPh>
    <rPh sb="4" eb="6">
      <t>タンイ</t>
    </rPh>
    <phoneticPr fontId="2"/>
  </si>
  <si>
    <t>排他制御に使用するバージョンカラムをどのテーブルに定義するかは業務的な観点により決める必要がある。</t>
  </si>
  <si>
    <t>バージョン番号を持つテーブルは、排他制御を行う単位ごとに定義し、競合が許容される最大の単位で定義する。</t>
    <phoneticPr fontId="2"/>
  </si>
  <si>
    <t>たとえば、「ユーザ」という大きな単位でロックすることが業務的に許容されるならば、ユーザテーブルにバージョン番号を定義する。</t>
    <phoneticPr fontId="2"/>
  </si>
  <si>
    <t>データクリーニング</t>
    <phoneticPr fontId="2"/>
  </si>
  <si>
    <t>本システムでは、データクリーニングのための共通機能を作成してデータベースのデータ削除を行う。</t>
    <rPh sb="0" eb="1">
      <t>ホン</t>
    </rPh>
    <rPh sb="21" eb="23">
      <t>キョウツウ</t>
    </rPh>
    <rPh sb="23" eb="25">
      <t>キノウ</t>
    </rPh>
    <rPh sb="26" eb="28">
      <t>サクセイ</t>
    </rPh>
    <rPh sb="40" eb="42">
      <t>サクジョ</t>
    </rPh>
    <rPh sb="43" eb="44">
      <t>オコナ</t>
    </rPh>
    <phoneticPr fontId="2"/>
  </si>
  <si>
    <t>業務アプリケーションはクリーニング対象の削除要件に対応した実行SQLをコンフィグファイルに設定、またはコンフィグファイルを</t>
    <rPh sb="0" eb="2">
      <t>ギョウム</t>
    </rPh>
    <phoneticPr fontId="2"/>
  </si>
  <si>
    <t>新規作成することで、コンフィグファイルに記載されているパラメータを削除条件としたデータクリーニングを実行可能とする。</t>
  </si>
  <si>
    <t>物理削除</t>
    <rPh sb="0" eb="2">
      <t>ブツリ</t>
    </rPh>
    <rPh sb="2" eb="4">
      <t>サクジョ</t>
    </rPh>
    <phoneticPr fontId="2"/>
  </si>
  <si>
    <t>DB上からDELETE文やTRUNCATE文などによって物理的に削除する。</t>
    <rPh sb="2" eb="3">
      <t>ジョウ</t>
    </rPh>
    <rPh sb="11" eb="12">
      <t>ブン</t>
    </rPh>
    <rPh sb="21" eb="22">
      <t>ブン</t>
    </rPh>
    <rPh sb="28" eb="31">
      <t>ブツリテキ</t>
    </rPh>
    <rPh sb="32" eb="34">
      <t>サクジョ</t>
    </rPh>
    <phoneticPr fontId="2"/>
  </si>
  <si>
    <t>誤って削除した場合や、削除後に参照したい場合でも、復元や参照はできない。</t>
    <rPh sb="0" eb="1">
      <t>アヤマ</t>
    </rPh>
    <rPh sb="3" eb="5">
      <t>サクジョ</t>
    </rPh>
    <rPh sb="7" eb="9">
      <t>バアイ</t>
    </rPh>
    <rPh sb="11" eb="13">
      <t>サクジョ</t>
    </rPh>
    <rPh sb="13" eb="14">
      <t>ゴ</t>
    </rPh>
    <rPh sb="15" eb="17">
      <t>サンショウ</t>
    </rPh>
    <rPh sb="20" eb="22">
      <t>バアイ</t>
    </rPh>
    <rPh sb="25" eb="27">
      <t>フクゲン</t>
    </rPh>
    <rPh sb="28" eb="30">
      <t>サンショウ</t>
    </rPh>
    <phoneticPr fontId="2"/>
  </si>
  <si>
    <t>論理削除</t>
    <rPh sb="0" eb="2">
      <t>ロンリ</t>
    </rPh>
    <rPh sb="2" eb="4">
      <t>サクジョ</t>
    </rPh>
    <phoneticPr fontId="2"/>
  </si>
  <si>
    <t>論理削除フラグ項目をTBLに保有し、該当フラグを”ON”にする。</t>
    <phoneticPr fontId="2"/>
  </si>
  <si>
    <t>削除したレコードの履歴を参照できる。</t>
    <rPh sb="0" eb="2">
      <t>サクジョ</t>
    </rPh>
    <rPh sb="9" eb="11">
      <t>リレキ</t>
    </rPh>
    <rPh sb="12" eb="14">
      <t>サンショウ</t>
    </rPh>
    <phoneticPr fontId="2"/>
  </si>
  <si>
    <t>長期間運用する場合はDBのストレージ容量を超過しないように、</t>
    <rPh sb="0" eb="3">
      <t>チョウキカン</t>
    </rPh>
    <rPh sb="3" eb="5">
      <t>ウンヨウ</t>
    </rPh>
    <rPh sb="7" eb="9">
      <t>バアイ</t>
    </rPh>
    <rPh sb="18" eb="20">
      <t>ヨウリョウ</t>
    </rPh>
    <rPh sb="21" eb="23">
      <t>チョウカ</t>
    </rPh>
    <phoneticPr fontId="2"/>
  </si>
  <si>
    <t>定期的にバックアップや物理削除を行う必要がある。</t>
    <rPh sb="0" eb="3">
      <t>テイキテキ</t>
    </rPh>
    <rPh sb="11" eb="15">
      <t>ブツリサクジョ</t>
    </rPh>
    <rPh sb="16" eb="17">
      <t>オコナ</t>
    </rPh>
    <rPh sb="18" eb="20">
      <t>ヒツヨウ</t>
    </rPh>
    <phoneticPr fontId="2"/>
  </si>
  <si>
    <t>使用する</t>
  </si>
  <si>
    <t>業務要件上必要な場合を除き、論理削除による履歴の保持は行わない。</t>
    <rPh sb="0" eb="2">
      <t>ギョウム</t>
    </rPh>
    <rPh sb="2" eb="4">
      <t>ヨウケン</t>
    </rPh>
    <rPh sb="4" eb="5">
      <t>ジョウ</t>
    </rPh>
    <rPh sb="5" eb="7">
      <t>ヒツヨウ</t>
    </rPh>
    <rPh sb="8" eb="10">
      <t>バアイ</t>
    </rPh>
    <rPh sb="11" eb="12">
      <t>ノゾ</t>
    </rPh>
    <rPh sb="14" eb="16">
      <t>ロンリ</t>
    </rPh>
    <rPh sb="16" eb="18">
      <t>サクジョ</t>
    </rPh>
    <rPh sb="21" eb="23">
      <t>リレキ</t>
    </rPh>
    <rPh sb="24" eb="26">
      <t>ホジ</t>
    </rPh>
    <rPh sb="27" eb="28">
      <t>オコナ</t>
    </rPh>
    <phoneticPr fontId="2"/>
  </si>
  <si>
    <t>使用する</t>
    <phoneticPr fontId="2"/>
  </si>
  <si>
    <t>共通機能では提供しない。必要な場合は個別に設計、実装を行う。</t>
    <rPh sb="0" eb="2">
      <t>キョウツウ</t>
    </rPh>
    <rPh sb="2" eb="4">
      <t>キノウ</t>
    </rPh>
    <rPh sb="6" eb="8">
      <t>テイキョウ</t>
    </rPh>
    <rPh sb="12" eb="14">
      <t>ヒツヨウ</t>
    </rPh>
    <rPh sb="15" eb="17">
      <t>バアイ</t>
    </rPh>
    <rPh sb="18" eb="20">
      <t>コベツ</t>
    </rPh>
    <rPh sb="21" eb="23">
      <t>セッケイ</t>
    </rPh>
    <rPh sb="24" eb="26">
      <t>ジッソウ</t>
    </rPh>
    <rPh sb="27" eb="28">
      <t>オコナ</t>
    </rPh>
    <phoneticPr fontId="2"/>
  </si>
  <si>
    <t>物理削除は以下の方針で実施する。</t>
    <rPh sb="0" eb="2">
      <t>ブツリ</t>
    </rPh>
    <rPh sb="2" eb="4">
      <t>サクジョ</t>
    </rPh>
    <rPh sb="5" eb="7">
      <t>イカ</t>
    </rPh>
    <rPh sb="8" eb="10">
      <t>ホウシン</t>
    </rPh>
    <rPh sb="11" eb="13">
      <t>ジッシ</t>
    </rPh>
    <phoneticPr fontId="2"/>
  </si>
  <si>
    <t>削除方法</t>
    <rPh sb="0" eb="2">
      <t>サクジョ</t>
    </rPh>
    <rPh sb="2" eb="4">
      <t>ホウホウ</t>
    </rPh>
    <phoneticPr fontId="2"/>
  </si>
  <si>
    <t>削除条件</t>
    <rPh sb="0" eb="2">
      <t>サクジョ</t>
    </rPh>
    <rPh sb="2" eb="4">
      <t>ジョウケン</t>
    </rPh>
    <phoneticPr fontId="2"/>
  </si>
  <si>
    <t>クリーニング処理</t>
    <rPh sb="6" eb="8">
      <t>ショリ</t>
    </rPh>
    <phoneticPr fontId="2"/>
  </si>
  <si>
    <t>パラメータ</t>
    <phoneticPr fontId="2"/>
  </si>
  <si>
    <t>全件削除</t>
    <rPh sb="0" eb="2">
      <t>ゼンケン</t>
    </rPh>
    <rPh sb="2" eb="4">
      <t>サクジョ</t>
    </rPh>
    <phoneticPr fontId="2"/>
  </si>
  <si>
    <t>対象テーブルのデータを物理的に全件削除する。</t>
    <phoneticPr fontId="2"/>
  </si>
  <si>
    <t>対象テーブル名</t>
    <rPh sb="0" eb="2">
      <t>タイショウ</t>
    </rPh>
    <rPh sb="6" eb="7">
      <t>メイ</t>
    </rPh>
    <phoneticPr fontId="2"/>
  </si>
  <si>
    <t>TRUNCATE文にて実施する。</t>
    <phoneticPr fontId="2"/>
  </si>
  <si>
    <t>基準日指定</t>
    <rPh sb="0" eb="3">
      <t>キジュンビ</t>
    </rPh>
    <rPh sb="3" eb="5">
      <t>シテイ</t>
    </rPh>
    <phoneticPr fontId="2"/>
  </si>
  <si>
    <t>対象テーブル名、基準日カラム名、</t>
    <rPh sb="0" eb="2">
      <t>タイショウ</t>
    </rPh>
    <rPh sb="6" eb="7">
      <t>メイ</t>
    </rPh>
    <rPh sb="8" eb="11">
      <t>キジュンビ</t>
    </rPh>
    <rPh sb="14" eb="15">
      <t>メイ</t>
    </rPh>
    <phoneticPr fontId="2"/>
  </si>
  <si>
    <t>基準日(yyyyMMdd)</t>
  </si>
  <si>
    <t>フラグ指定</t>
    <rPh sb="3" eb="5">
      <t>シテイ</t>
    </rPh>
    <phoneticPr fontId="2"/>
  </si>
  <si>
    <t>対象テーブルから特定フラグの状態を判断し、</t>
    <rPh sb="0" eb="2">
      <t>タイショウ</t>
    </rPh>
    <rPh sb="8" eb="10">
      <t>トクテイ</t>
    </rPh>
    <rPh sb="14" eb="16">
      <t>ジョウタイ</t>
    </rPh>
    <rPh sb="17" eb="19">
      <t>ハンダン</t>
    </rPh>
    <phoneticPr fontId="2"/>
  </si>
  <si>
    <t>対象テーブル名、フラグカラム名、</t>
    <rPh sb="0" eb="2">
      <t>タイショウ</t>
    </rPh>
    <rPh sb="6" eb="7">
      <t>メイ</t>
    </rPh>
    <rPh sb="14" eb="15">
      <t>メイ</t>
    </rPh>
    <phoneticPr fontId="2"/>
  </si>
  <si>
    <t>データを物理的に削除する。</t>
    <rPh sb="4" eb="7">
      <t>ブツリテキ</t>
    </rPh>
    <rPh sb="8" eb="10">
      <t>サクジョ</t>
    </rPh>
    <phoneticPr fontId="2"/>
  </si>
  <si>
    <t>削除対象となるフラグの状態</t>
    <rPh sb="0" eb="4">
      <t>サクジョタイショウ</t>
    </rPh>
    <rPh sb="11" eb="13">
      <t>ジョウタイ</t>
    </rPh>
    <phoneticPr fontId="2"/>
  </si>
  <si>
    <t>入力処理方式(REST)</t>
    <rPh sb="0" eb="6">
      <t>ニュウリョクショリホウシキ</t>
    </rPh>
    <phoneticPr fontId="2"/>
  </si>
  <si>
    <t>多数のリクエストを同時処理する必要があるが、システムの要件から更新の競合発生頻度は</t>
    <rPh sb="0" eb="2">
      <t>タスウ</t>
    </rPh>
    <rPh sb="9" eb="11">
      <t>ドウジ</t>
    </rPh>
    <rPh sb="11" eb="13">
      <t>ショリ</t>
    </rPh>
    <rPh sb="15" eb="17">
      <t>ヒツヨウ</t>
    </rPh>
    <rPh sb="27" eb="29">
      <t>ヨウケン</t>
    </rPh>
    <rPh sb="31" eb="33">
      <t>コウシン</t>
    </rPh>
    <rPh sb="34" eb="36">
      <t>キョウゴウ</t>
    </rPh>
    <rPh sb="36" eb="38">
      <t>ハッセイ</t>
    </rPh>
    <rPh sb="38" eb="40">
      <t>ヒンド</t>
    </rPh>
    <phoneticPr fontId="2"/>
  </si>
  <si>
    <t>低い想定のためスループットを優先し楽観的ロックを採用する。</t>
    <phoneticPr fontId="2"/>
  </si>
  <si>
    <t>データの整合性が担保できる最低限の範囲として、登録・更新・削除処理で楽観的ロックを</t>
    <rPh sb="4" eb="7">
      <t>セイゴウセイ</t>
    </rPh>
    <rPh sb="8" eb="10">
      <t>タンポ</t>
    </rPh>
    <rPh sb="13" eb="16">
      <t>サイテイゲン</t>
    </rPh>
    <rPh sb="17" eb="19">
      <t>ハンイ</t>
    </rPh>
    <rPh sb="31" eb="33">
      <t>ショリ</t>
    </rPh>
    <rPh sb="34" eb="36">
      <t>ラッカン</t>
    </rPh>
    <rPh sb="36" eb="37">
      <t>テキ</t>
    </rPh>
    <phoneticPr fontId="2"/>
  </si>
  <si>
    <t>使用し、参照処理（検索処理を含む）では排他制御は行わない。</t>
    <rPh sb="4" eb="6">
      <t>サンショウ</t>
    </rPh>
    <rPh sb="6" eb="8">
      <t>ショリ</t>
    </rPh>
    <rPh sb="9" eb="11">
      <t>ケンサク</t>
    </rPh>
    <rPh sb="11" eb="13">
      <t>ショリ</t>
    </rPh>
    <rPh sb="14" eb="15">
      <t>フク</t>
    </rPh>
    <rPh sb="19" eb="21">
      <t>ハイタ</t>
    </rPh>
    <rPh sb="21" eb="23">
      <t>セイギョ</t>
    </rPh>
    <rPh sb="24" eb="25">
      <t>オコナ</t>
    </rPh>
    <phoneticPr fontId="2"/>
  </si>
  <si>
    <t>自動で楽観的ロックを行うことができる。簡易に実現できる方式としてこの方式を</t>
    <rPh sb="19" eb="21">
      <t>カンイ</t>
    </rPh>
    <rPh sb="22" eb="24">
      <t>ジツゲン</t>
    </rPh>
    <rPh sb="27" eb="29">
      <t>ホウシキ</t>
    </rPh>
    <rPh sb="34" eb="36">
      <t>ホウシキ</t>
    </rPh>
    <phoneticPr fontId="2"/>
  </si>
  <si>
    <t>採用する。</t>
    <phoneticPr fontId="2"/>
  </si>
  <si>
    <t>ただし、単位を大きくすると、競合する可能性が高くなり、更新失敗(楽観的ロックの場合)や処理遅延(悲観的ロックの場合)を招く点に</t>
    <phoneticPr fontId="2"/>
  </si>
  <si>
    <t>注意すること。</t>
    <phoneticPr fontId="2"/>
  </si>
  <si>
    <t>データベースの同一データに対して、 複数のトランザクション（ウェブやバッチ）から同時に更新した場合でも、 データの整合性を</t>
    <phoneticPr fontId="2"/>
  </si>
  <si>
    <t>保つために、データの読み取りおよび書き込みを一時的に制限（排他）する機能。</t>
    <rPh sb="34" eb="36">
      <t>キノウ</t>
    </rPh>
    <phoneticPr fontId="2"/>
  </si>
  <si>
    <t>対象テーブルから基準日以前のデータを物理的に</t>
    <rPh sb="0" eb="2">
      <t>タイショウ</t>
    </rPh>
    <rPh sb="8" eb="11">
      <t>キジュンビ</t>
    </rPh>
    <rPh sb="11" eb="13">
      <t>イゼン</t>
    </rPh>
    <rPh sb="18" eb="21">
      <t>ブツリテキ</t>
    </rPh>
    <phoneticPr fontId="2"/>
  </si>
  <si>
    <t>削除する。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</si>
</sst>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64">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1" fillId="0" borderId="0" xfId="0" applyFont="1">
      <alignment vertical="center"/>
    </xf>
    <xf numFmtId="0" fontId="4" fillId="0" borderId="7" xfId="0" applyFont="1" applyBorder="1">
      <alignment vertical="center"/>
    </xf>
    <xf numFmtId="0" fontId="4" fillId="0" borderId="8"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0" xfId="0" applyFont="1" applyAlignment="1">
      <alignment horizontal="right"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5" xfId="0" applyFont="1" applyBorder="1">
      <alignmen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0" borderId="4" xfId="0" applyFont="1" applyBorder="1">
      <alignment vertical="center"/>
    </xf>
    <xf numFmtId="0" fontId="1" fillId="0" borderId="6" xfId="0" applyFont="1" applyBorder="1">
      <alignment vertical="center"/>
    </xf>
    <xf numFmtId="0" fontId="4" fillId="0" borderId="0" xfId="0" applyFont="1" applyAlignment="1">
      <alignment horizontal="left" vertical="center"/>
    </xf>
    <xf numFmtId="0" fontId="4" fillId="0" borderId="0" xfId="0" applyFont="1" applyBorder="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2">
          <a:schemeClr val="accent1"/>
        </a:fillRef>
        <a:effectRef idx="1">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192"/>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48"/>
      <c r="F1" s="49"/>
      <c r="G1" s="49"/>
      <c r="H1" s="49"/>
      <c r="I1" s="49"/>
      <c r="J1" s="49"/>
      <c r="K1" s="49"/>
      <c r="L1" s="49"/>
      <c r="M1" s="49"/>
      <c r="N1" s="49"/>
      <c r="O1" s="50"/>
      <c r="P1" s="1" t="s">
        <v>1</v>
      </c>
      <c r="Q1" s="2"/>
      <c r="R1" s="51" t="s">
        <v>2</v>
      </c>
      <c r="S1" s="52"/>
      <c r="T1" s="52"/>
      <c r="U1" s="52"/>
      <c r="V1" s="52"/>
      <c r="W1" s="52"/>
      <c r="X1" s="53"/>
      <c r="Y1" s="1" t="s">
        <v>3</v>
      </c>
      <c r="Z1" s="3"/>
      <c r="AA1" s="54"/>
      <c r="AB1" s="55"/>
      <c r="AC1" s="55"/>
      <c r="AD1" s="55"/>
      <c r="AE1" s="56"/>
      <c r="AF1" s="45"/>
      <c r="AG1" s="46"/>
      <c r="AH1" s="46"/>
      <c r="AI1" s="47"/>
    </row>
    <row r="2" spans="1:35" ht="14.25" customHeight="1" x14ac:dyDescent="0.15">
      <c r="A2" s="5" t="s">
        <v>4</v>
      </c>
      <c r="B2" s="6"/>
      <c r="C2" s="6"/>
      <c r="D2" s="7"/>
      <c r="E2" s="48"/>
      <c r="F2" s="49"/>
      <c r="G2" s="49"/>
      <c r="H2" s="49"/>
      <c r="I2" s="49"/>
      <c r="J2" s="49"/>
      <c r="K2" s="49"/>
      <c r="L2" s="49"/>
      <c r="M2" s="49"/>
      <c r="N2" s="49"/>
      <c r="O2" s="50"/>
      <c r="P2" s="8" t="s">
        <v>5</v>
      </c>
      <c r="Q2" s="9"/>
      <c r="R2" s="57" t="s">
        <v>6</v>
      </c>
      <c r="S2" s="58"/>
      <c r="T2" s="58"/>
      <c r="U2" s="58"/>
      <c r="V2" s="58"/>
      <c r="W2" s="58"/>
      <c r="X2" s="59"/>
      <c r="Y2" s="1" t="s">
        <v>7</v>
      </c>
      <c r="Z2" s="3"/>
      <c r="AA2" s="54"/>
      <c r="AB2" s="55"/>
      <c r="AC2" s="55"/>
      <c r="AD2" s="55"/>
      <c r="AE2" s="56"/>
      <c r="AF2" s="45"/>
      <c r="AG2" s="46"/>
      <c r="AH2" s="46"/>
      <c r="AI2" s="47"/>
    </row>
    <row r="3" spans="1:35" ht="14.25" customHeight="1" x14ac:dyDescent="0.15">
      <c r="A3" s="1" t="s">
        <v>8</v>
      </c>
      <c r="B3" s="10"/>
      <c r="C3" s="11"/>
      <c r="D3" s="3"/>
      <c r="E3" s="63"/>
      <c r="F3" s="63"/>
      <c r="G3" s="63"/>
      <c r="H3" s="63"/>
      <c r="I3" s="63"/>
      <c r="J3" s="63"/>
      <c r="K3" s="63"/>
      <c r="L3" s="63"/>
      <c r="M3" s="63"/>
      <c r="N3" s="63"/>
      <c r="O3" s="63"/>
      <c r="P3" s="12"/>
      <c r="Q3" s="13"/>
      <c r="R3" s="60"/>
      <c r="S3" s="61"/>
      <c r="T3" s="61"/>
      <c r="U3" s="61"/>
      <c r="V3" s="61"/>
      <c r="W3" s="61"/>
      <c r="X3" s="62"/>
      <c r="Y3" s="12" t="s">
        <v>9</v>
      </c>
      <c r="Z3" s="14"/>
      <c r="AA3" s="54"/>
      <c r="AB3" s="55"/>
      <c r="AC3" s="55"/>
      <c r="AD3" s="55"/>
      <c r="AE3" s="56"/>
      <c r="AF3" s="45"/>
      <c r="AG3" s="46"/>
      <c r="AH3" s="46"/>
      <c r="AI3" s="47"/>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$B$5&amp;"3."</f>
        <v>7.3.</v>
      </c>
      <c r="D7" s="4" t="s">
        <v>12</v>
      </c>
    </row>
    <row r="8" spans="1:35" ht="11.25" customHeight="1" x14ac:dyDescent="0.15">
      <c r="C8" s="15"/>
    </row>
    <row r="9" spans="1:35" ht="11.25" customHeight="1" x14ac:dyDescent="0.15">
      <c r="D9" s="15" t="str">
        <f>$C$7&amp;"1."</f>
        <v>7.3.1.</v>
      </c>
      <c r="E9" s="4" t="s">
        <v>13</v>
      </c>
    </row>
    <row r="10" spans="1:35" ht="11.25" customHeight="1" x14ac:dyDescent="0.15">
      <c r="D10" s="15"/>
      <c r="E10" s="15" t="str">
        <f>D9&amp;"1."</f>
        <v>7.3.1.1.</v>
      </c>
      <c r="F10" s="4" t="str">
        <f>$E$9&amp;"機能概要"</f>
        <v>コネクション機能概要</v>
      </c>
    </row>
    <row r="11" spans="1:35" ht="11.25" customHeight="1" x14ac:dyDescent="0.15">
      <c r="F11" s="4" t="s">
        <v>14</v>
      </c>
    </row>
    <row r="12" spans="1:35" ht="11.25" customHeight="1" x14ac:dyDescent="0.15">
      <c r="F12" s="4" t="s">
        <v>15</v>
      </c>
    </row>
    <row r="13" spans="1:35" ht="11.25" customHeight="1" x14ac:dyDescent="0.15">
      <c r="F13" s="4" t="s">
        <v>16</v>
      </c>
    </row>
    <row r="14" spans="1:35" ht="11.25" customHeight="1" x14ac:dyDescent="0.15">
      <c r="F14" s="4" t="s">
        <v>17</v>
      </c>
    </row>
    <row r="15" spans="1:35" ht="11.25" customHeight="1" x14ac:dyDescent="0.15">
      <c r="F15" s="4" t="s">
        <v>18</v>
      </c>
    </row>
    <row r="16" spans="1:35" ht="11.25" customHeight="1" x14ac:dyDescent="0.15"/>
    <row r="17" spans="4:34" ht="11.25" customHeight="1" x14ac:dyDescent="0.15">
      <c r="E17" s="15" t="str">
        <f>D9&amp;"2."</f>
        <v>7.3.1.2.</v>
      </c>
      <c r="F17" s="4" t="str">
        <f>$E$9&amp;"管理"</f>
        <v>コネクション管理</v>
      </c>
    </row>
    <row r="18" spans="4:34" ht="11.25" customHeight="1" x14ac:dyDescent="0.15">
      <c r="F18" s="25" t="s">
        <v>19</v>
      </c>
      <c r="G18" s="26"/>
      <c r="H18" s="26"/>
      <c r="I18" s="27"/>
      <c r="J18" s="25" t="s">
        <v>20</v>
      </c>
      <c r="K18" s="26"/>
      <c r="L18" s="26"/>
      <c r="M18" s="26"/>
      <c r="N18" s="26"/>
      <c r="O18" s="27"/>
      <c r="P18" s="26" t="s">
        <v>21</v>
      </c>
      <c r="Q18" s="26"/>
      <c r="R18" s="26"/>
      <c r="S18" s="26"/>
      <c r="T18" s="26"/>
      <c r="U18" s="26"/>
      <c r="V18" s="26"/>
      <c r="W18" s="26"/>
      <c r="X18" s="26"/>
      <c r="Y18" s="26"/>
      <c r="Z18" s="26"/>
      <c r="AA18" s="26"/>
      <c r="AB18" s="26"/>
      <c r="AC18" s="26"/>
      <c r="AD18" s="26"/>
      <c r="AE18" s="26"/>
      <c r="AF18" s="26"/>
      <c r="AG18" s="26"/>
      <c r="AH18" s="27"/>
    </row>
    <row r="19" spans="4:34" ht="11.25" customHeight="1" x14ac:dyDescent="0.15">
      <c r="F19" s="17" t="s">
        <v>22</v>
      </c>
      <c r="I19" s="18"/>
      <c r="J19" s="17" t="s">
        <v>23</v>
      </c>
      <c r="O19" s="18"/>
      <c r="P19" s="4" t="s">
        <v>24</v>
      </c>
      <c r="AH19" s="18"/>
    </row>
    <row r="20" spans="4:34" ht="11.25" customHeight="1" x14ac:dyDescent="0.15">
      <c r="F20" s="21" t="s">
        <v>25</v>
      </c>
      <c r="G20" s="22"/>
      <c r="H20" s="22"/>
      <c r="I20" s="23"/>
      <c r="J20" s="21" t="s">
        <v>26</v>
      </c>
      <c r="K20" s="22"/>
      <c r="L20" s="22"/>
      <c r="M20" s="22"/>
      <c r="N20" s="22"/>
      <c r="O20" s="42"/>
      <c r="P20" s="37" t="s">
        <v>27</v>
      </c>
      <c r="Q20" s="22"/>
      <c r="R20" s="22"/>
      <c r="S20" s="22"/>
      <c r="T20" s="22"/>
      <c r="U20" s="22"/>
      <c r="V20" s="22"/>
      <c r="W20" s="22"/>
      <c r="X20" s="22"/>
      <c r="Y20" s="22"/>
      <c r="Z20" s="22"/>
      <c r="AA20" s="22"/>
      <c r="AB20" s="22"/>
      <c r="AC20" s="22"/>
      <c r="AD20" s="22"/>
      <c r="AE20" s="22"/>
      <c r="AF20" s="22"/>
      <c r="AG20" s="22"/>
      <c r="AH20" s="23"/>
    </row>
    <row r="21" spans="4:34" ht="11.25" customHeight="1" x14ac:dyDescent="0.15">
      <c r="F21" s="17"/>
      <c r="I21" s="18"/>
      <c r="J21" s="17"/>
      <c r="O21" s="33"/>
      <c r="P21" s="16" t="s">
        <v>28</v>
      </c>
      <c r="AH21" s="18"/>
    </row>
    <row r="22" spans="4:34" ht="11.25" customHeight="1" x14ac:dyDescent="0.15">
      <c r="F22" s="19"/>
      <c r="G22" s="20"/>
      <c r="H22" s="20"/>
      <c r="I22" s="24"/>
      <c r="J22" s="19"/>
      <c r="K22" s="20"/>
      <c r="L22" s="20"/>
      <c r="M22" s="20"/>
      <c r="N22" s="20"/>
      <c r="O22" s="24"/>
      <c r="P22" s="20" t="s">
        <v>29</v>
      </c>
      <c r="Q22" s="20"/>
      <c r="R22" s="20"/>
      <c r="S22" s="20"/>
      <c r="T22" s="20"/>
      <c r="U22" s="20"/>
      <c r="V22" s="20"/>
      <c r="W22" s="20"/>
      <c r="X22" s="20"/>
      <c r="Y22" s="20"/>
      <c r="Z22" s="20"/>
      <c r="AA22" s="20"/>
      <c r="AB22" s="20"/>
      <c r="AC22" s="20"/>
      <c r="AD22" s="20"/>
      <c r="AE22" s="20"/>
      <c r="AF22" s="20"/>
      <c r="AG22" s="20"/>
      <c r="AH22" s="24"/>
    </row>
    <row r="23" spans="4:34" ht="11.25" customHeight="1" x14ac:dyDescent="0.15">
      <c r="F23" s="38" t="s">
        <v>30</v>
      </c>
      <c r="G23" s="39"/>
      <c r="H23" s="39"/>
      <c r="I23" s="40"/>
      <c r="J23" s="38" t="s">
        <v>23</v>
      </c>
      <c r="K23" s="39"/>
      <c r="L23" s="39"/>
      <c r="M23" s="39"/>
      <c r="N23" s="39"/>
      <c r="O23" s="40"/>
      <c r="P23" s="38" t="s">
        <v>31</v>
      </c>
      <c r="Q23" s="39"/>
      <c r="R23" s="39"/>
      <c r="S23" s="39"/>
      <c r="T23" s="39"/>
      <c r="U23" s="39"/>
      <c r="V23" s="39"/>
      <c r="W23" s="39"/>
      <c r="X23" s="39"/>
      <c r="Y23" s="39"/>
      <c r="Z23" s="39"/>
      <c r="AA23" s="39"/>
      <c r="AB23" s="39"/>
      <c r="AC23" s="39"/>
      <c r="AD23" s="39"/>
      <c r="AE23" s="39"/>
      <c r="AF23" s="39"/>
      <c r="AG23" s="39"/>
      <c r="AH23" s="40"/>
    </row>
    <row r="24" spans="4:34" ht="11.25" customHeight="1" x14ac:dyDescent="0.15"/>
    <row r="25" spans="4:34" ht="11.25" customHeight="1" x14ac:dyDescent="0.15">
      <c r="D25" s="15" t="str">
        <f>$C$7&amp;"2."</f>
        <v>7.3.2.</v>
      </c>
      <c r="E25" s="4" t="s">
        <v>32</v>
      </c>
    </row>
    <row r="26" spans="4:34" ht="11.25" customHeight="1" x14ac:dyDescent="0.15">
      <c r="D26" s="15"/>
      <c r="E26" s="15" t="str">
        <f>$D$25&amp;"1."</f>
        <v>7.3.2.1.</v>
      </c>
      <c r="F26" s="4" t="str">
        <f>$E$25&amp;"機能概要"</f>
        <v>データベース接続機能概要</v>
      </c>
    </row>
    <row r="27" spans="4:34" ht="11.25" customHeight="1" x14ac:dyDescent="0.15">
      <c r="F27" s="4" t="s">
        <v>33</v>
      </c>
    </row>
    <row r="28" spans="4:34" ht="11.25" customHeight="1" x14ac:dyDescent="0.15">
      <c r="F28" s="4" t="s">
        <v>34</v>
      </c>
    </row>
    <row r="29" spans="4:34" ht="11.25" customHeight="1" x14ac:dyDescent="0.15">
      <c r="F29" s="4" t="s">
        <v>35</v>
      </c>
    </row>
    <row r="30" spans="4:34" ht="11.25" customHeight="1" x14ac:dyDescent="0.15"/>
    <row r="31" spans="4:34" ht="11.25" customHeight="1" x14ac:dyDescent="0.15">
      <c r="F31" s="4" t="s">
        <v>36</v>
      </c>
    </row>
    <row r="32" spans="4:34" ht="11.25" customHeight="1" x14ac:dyDescent="0.15">
      <c r="F32" s="4" t="s">
        <v>37</v>
      </c>
    </row>
    <row r="33" spans="4:7" ht="11.25" customHeight="1" x14ac:dyDescent="0.15">
      <c r="F33" s="4" t="s">
        <v>38</v>
      </c>
    </row>
    <row r="34" spans="4:7" ht="11.25" customHeight="1" x14ac:dyDescent="0.15"/>
    <row r="35" spans="4:7" ht="11.25" customHeight="1" x14ac:dyDescent="0.15">
      <c r="F35" s="4" t="s">
        <v>39</v>
      </c>
    </row>
    <row r="36" spans="4:7" ht="11.25" customHeight="1" x14ac:dyDescent="0.15">
      <c r="F36" s="28" t="s">
        <v>40</v>
      </c>
      <c r="G36" s="4" t="s">
        <v>41</v>
      </c>
    </row>
    <row r="37" spans="4:7" ht="11.25" customHeight="1" x14ac:dyDescent="0.15">
      <c r="F37" s="28" t="s">
        <v>40</v>
      </c>
      <c r="G37" s="4" t="s">
        <v>42</v>
      </c>
    </row>
    <row r="38" spans="4:7" ht="11.25" customHeight="1" x14ac:dyDescent="0.15">
      <c r="F38" s="28" t="s">
        <v>40</v>
      </c>
      <c r="G38" s="4" t="s">
        <v>43</v>
      </c>
    </row>
    <row r="39" spans="4:7" ht="11.25" customHeight="1" x14ac:dyDescent="0.15">
      <c r="F39" s="28"/>
    </row>
    <row r="40" spans="4:7" ht="11.25" customHeight="1" x14ac:dyDescent="0.15">
      <c r="D40" s="15"/>
    </row>
    <row r="41" spans="4:7" ht="11.25" customHeight="1" x14ac:dyDescent="0.15">
      <c r="D41" s="15"/>
      <c r="E41" s="15" t="str">
        <f>$D$25&amp;"2."</f>
        <v>7.3.2.2.</v>
      </c>
      <c r="F41" s="4" t="str">
        <f>$E$25&amp;"ユーザ"</f>
        <v>データベース接続ユーザ</v>
      </c>
    </row>
    <row r="42" spans="4:7" ht="11.25" customHeight="1" x14ac:dyDescent="0.15">
      <c r="F42" s="43" t="s">
        <v>44</v>
      </c>
    </row>
    <row r="43" spans="4:7" ht="11.25" customHeight="1" x14ac:dyDescent="0.15">
      <c r="F43" s="43" t="s">
        <v>45</v>
      </c>
    </row>
    <row r="44" spans="4:7" ht="11.25" customHeight="1" x14ac:dyDescent="0.15">
      <c r="F44" s="28"/>
    </row>
    <row r="45" spans="4:7" ht="11.25" customHeight="1" x14ac:dyDescent="0.15"/>
    <row r="46" spans="4:7" ht="11.25" customHeight="1" x14ac:dyDescent="0.15">
      <c r="D46" s="15" t="str">
        <f>$C$7&amp;"3."</f>
        <v>7.3.3.</v>
      </c>
      <c r="E46" s="4" t="s">
        <v>46</v>
      </c>
    </row>
    <row r="47" spans="4:7" ht="11.25" customHeight="1" x14ac:dyDescent="0.15">
      <c r="D47" s="15"/>
      <c r="E47" s="15" t="str">
        <f>$D$46&amp;"1."</f>
        <v>7.3.3.1.</v>
      </c>
      <c r="F47" s="4" t="s">
        <v>47</v>
      </c>
    </row>
    <row r="48" spans="4:7" ht="11.25" customHeight="1" x14ac:dyDescent="0.15">
      <c r="D48" s="15"/>
      <c r="F48" s="4" t="s">
        <v>48</v>
      </c>
    </row>
    <row r="49" spans="4:6" ht="11.25" customHeight="1" x14ac:dyDescent="0.15">
      <c r="D49" s="15"/>
      <c r="F49" s="4" t="s">
        <v>49</v>
      </c>
    </row>
    <row r="50" spans="4:6" ht="11.25" customHeight="1" x14ac:dyDescent="0.15">
      <c r="D50" s="15"/>
    </row>
    <row r="51" spans="4:6" ht="11.25" customHeight="1" x14ac:dyDescent="0.15">
      <c r="D51" s="15"/>
      <c r="F51" s="4" t="s">
        <v>50</v>
      </c>
    </row>
    <row r="52" spans="4:6" ht="11.25" customHeight="1" x14ac:dyDescent="0.15">
      <c r="D52" s="15"/>
      <c r="F52" s="4" t="s">
        <v>51</v>
      </c>
    </row>
    <row r="53" spans="4:6" ht="11.25" customHeight="1" x14ac:dyDescent="0.15">
      <c r="D53" s="15"/>
      <c r="E53" s="15"/>
      <c r="F53" s="4" t="s">
        <v>52</v>
      </c>
    </row>
    <row r="54" spans="4:6" ht="11.25" customHeight="1" x14ac:dyDescent="0.15">
      <c r="D54" s="15"/>
      <c r="E54" s="15"/>
    </row>
    <row r="55" spans="4:6" ht="11.25" customHeight="1" x14ac:dyDescent="0.15">
      <c r="D55" s="15"/>
      <c r="F55" s="4" t="s">
        <v>53</v>
      </c>
    </row>
    <row r="56" spans="4:6" ht="11.25" customHeight="1" x14ac:dyDescent="0.15">
      <c r="D56" s="15"/>
      <c r="F56" s="4" t="s">
        <v>54</v>
      </c>
    </row>
    <row r="57" spans="4:6" ht="11.25" customHeight="1" x14ac:dyDescent="0.15">
      <c r="D57" s="15"/>
    </row>
    <row r="58" spans="4:6" ht="11.25" customHeight="1" x14ac:dyDescent="0.15">
      <c r="D58" s="15"/>
      <c r="F58" s="4" t="s">
        <v>55</v>
      </c>
    </row>
    <row r="59" spans="4:6" ht="11.25" customHeight="1" x14ac:dyDescent="0.15">
      <c r="D59" s="15"/>
      <c r="F59" s="4" t="s">
        <v>56</v>
      </c>
    </row>
    <row r="60" spans="4:6" ht="11.25" customHeight="1" x14ac:dyDescent="0.15">
      <c r="D60" s="15"/>
    </row>
    <row r="61" spans="4:6" ht="11.25" customHeight="1" x14ac:dyDescent="0.15">
      <c r="D61" s="15"/>
      <c r="E61" s="15" t="str">
        <f>$D$46&amp;"2."</f>
        <v>7.3.3.2.</v>
      </c>
      <c r="F61" s="4" t="s">
        <v>57</v>
      </c>
    </row>
    <row r="62" spans="4:6" ht="11.25" customHeight="1" x14ac:dyDescent="0.15">
      <c r="D62" s="15"/>
      <c r="F62" s="4" t="s">
        <v>58</v>
      </c>
    </row>
    <row r="63" spans="4:6" ht="11.25" customHeight="1" x14ac:dyDescent="0.15">
      <c r="D63" s="15"/>
      <c r="F63" s="4" t="s">
        <v>59</v>
      </c>
    </row>
    <row r="64" spans="4:6" ht="11.25" customHeight="1" x14ac:dyDescent="0.15">
      <c r="D64" s="15"/>
      <c r="F64" s="4" t="s">
        <v>60</v>
      </c>
    </row>
    <row r="65" spans="4:6" ht="11.25" customHeight="1" x14ac:dyDescent="0.15">
      <c r="D65" s="15"/>
      <c r="F65" s="4" t="s">
        <v>61</v>
      </c>
    </row>
    <row r="66" spans="4:6" ht="11.25" customHeight="1" x14ac:dyDescent="0.15">
      <c r="D66" s="15"/>
      <c r="F66" s="4" t="s">
        <v>62</v>
      </c>
    </row>
    <row r="67" spans="4:6" ht="11.25" customHeight="1" x14ac:dyDescent="0.15">
      <c r="D67" s="15"/>
      <c r="F67" s="4" t="s">
        <v>63</v>
      </c>
    </row>
    <row r="68" spans="4:6" ht="11.25" customHeight="1" x14ac:dyDescent="0.15">
      <c r="D68" s="15"/>
    </row>
    <row r="69" spans="4:6" ht="11.25" customHeight="1" x14ac:dyDescent="0.15">
      <c r="D69" s="15"/>
      <c r="F69" s="4" t="s">
        <v>64</v>
      </c>
    </row>
    <row r="70" spans="4:6" ht="11.25" customHeight="1" x14ac:dyDescent="0.15">
      <c r="D70" s="15"/>
      <c r="F70" s="4" t="s">
        <v>65</v>
      </c>
    </row>
    <row r="71" spans="4:6" ht="11.25" customHeight="1" x14ac:dyDescent="0.15">
      <c r="D71" s="15"/>
    </row>
    <row r="72" spans="4:6" ht="11.25" customHeight="1" x14ac:dyDescent="0.15">
      <c r="D72" s="15"/>
      <c r="F72" s="4" t="s">
        <v>66</v>
      </c>
    </row>
    <row r="73" spans="4:6" ht="11.25" customHeight="1" x14ac:dyDescent="0.15">
      <c r="D73" s="15"/>
      <c r="F73" s="4" t="s">
        <v>67</v>
      </c>
    </row>
    <row r="74" spans="4:6" ht="11.25" customHeight="1" x14ac:dyDescent="0.15">
      <c r="D74" s="15"/>
      <c r="F74" s="4" t="s">
        <v>68</v>
      </c>
    </row>
    <row r="75" spans="4:6" ht="11.25" customHeight="1" x14ac:dyDescent="0.15">
      <c r="D75" s="15"/>
    </row>
    <row r="76" spans="4:6" ht="11.25" customHeight="1" x14ac:dyDescent="0.15">
      <c r="D76" s="15"/>
      <c r="E76" s="15" t="str">
        <f>$D$46&amp;"3."</f>
        <v>7.3.3.3.</v>
      </c>
      <c r="F76" s="4" t="s">
        <v>69</v>
      </c>
    </row>
    <row r="77" spans="4:6" ht="11.25" customHeight="1" x14ac:dyDescent="0.15">
      <c r="D77" s="15"/>
      <c r="F77" s="4" t="s">
        <v>70</v>
      </c>
    </row>
    <row r="78" spans="4:6" ht="11.25" customHeight="1" x14ac:dyDescent="0.15">
      <c r="D78" s="15"/>
      <c r="F78" s="4" t="s">
        <v>71</v>
      </c>
    </row>
    <row r="79" spans="4:6" ht="11.25" customHeight="1" x14ac:dyDescent="0.15">
      <c r="D79" s="15"/>
      <c r="F79" s="4" t="s">
        <v>72</v>
      </c>
    </row>
    <row r="80" spans="4:6" ht="11.25" customHeight="1" x14ac:dyDescent="0.15">
      <c r="D80" s="15"/>
      <c r="F80" s="4" t="s">
        <v>73</v>
      </c>
    </row>
    <row r="81" spans="4:35" ht="11.25" customHeight="1" x14ac:dyDescent="0.15">
      <c r="D81" s="15"/>
    </row>
    <row r="82" spans="4:35" ht="11.25" customHeight="1" x14ac:dyDescent="0.15">
      <c r="D82" s="15"/>
      <c r="F82" s="4" t="s">
        <v>74</v>
      </c>
      <c r="K82" s="4" t="s">
        <v>75</v>
      </c>
    </row>
    <row r="83" spans="4:35" ht="11.25" customHeight="1" x14ac:dyDescent="0.15">
      <c r="D83" s="15"/>
    </row>
    <row r="84" spans="4:35" ht="11.25" customHeight="1" x14ac:dyDescent="0.15">
      <c r="D84" s="15"/>
      <c r="F84" s="4" t="s">
        <v>76</v>
      </c>
    </row>
    <row r="85" spans="4:35" ht="11.25" customHeight="1" x14ac:dyDescent="0.15">
      <c r="D85" s="15"/>
    </row>
    <row r="86" spans="4:35" ht="11.25" customHeight="1" x14ac:dyDescent="0.15">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row>
    <row r="87" spans="4:35" ht="11.25" customHeight="1" x14ac:dyDescent="0.15">
      <c r="D87" s="15" t="str">
        <f>$C$7&amp;"4."</f>
        <v>7.3.4.</v>
      </c>
      <c r="E87" s="4" t="s">
        <v>77</v>
      </c>
    </row>
    <row r="88" spans="4:35" ht="11.25" customHeight="1" x14ac:dyDescent="0.15">
      <c r="E88" s="15" t="str">
        <f>D87&amp;"1."</f>
        <v>7.3.4.1.</v>
      </c>
      <c r="F88" s="4" t="s">
        <v>78</v>
      </c>
    </row>
    <row r="89" spans="4:35" ht="11.25" customHeight="1" x14ac:dyDescent="0.15">
      <c r="F89" s="15" t="str">
        <f>E88&amp;"1."</f>
        <v>7.3.4.1.1.</v>
      </c>
      <c r="G89" s="4" t="s">
        <v>79</v>
      </c>
    </row>
    <row r="90" spans="4:35" ht="11.25" customHeight="1" x14ac:dyDescent="0.15">
      <c r="D90" s="16"/>
      <c r="E90" s="16"/>
      <c r="F90" s="16"/>
      <c r="G90" s="16" t="s">
        <v>80</v>
      </c>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row>
    <row r="91" spans="4:35" ht="11.25" customHeight="1" x14ac:dyDescent="0.15">
      <c r="D91" s="16"/>
      <c r="E91" s="16"/>
      <c r="F91" s="16"/>
      <c r="G91" s="16" t="s">
        <v>81</v>
      </c>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row>
    <row r="92" spans="4:35" ht="11.25" customHeight="1" x14ac:dyDescent="0.15">
      <c r="D92" s="16"/>
      <c r="E92"/>
      <c r="F92" s="16"/>
      <c r="G92" s="16" t="s">
        <v>82</v>
      </c>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row>
    <row r="93" spans="4:35" ht="11.25" customHeight="1" x14ac:dyDescent="0.15">
      <c r="D93" s="16"/>
      <c r="E93"/>
      <c r="F93" s="16"/>
      <c r="G93" s="16" t="s">
        <v>83</v>
      </c>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row>
    <row r="94" spans="4:35" ht="11.25" customHeight="1" x14ac:dyDescent="0.15">
      <c r="D94" s="16"/>
      <c r="E94" s="16"/>
      <c r="F94" s="16"/>
      <c r="G94" s="16" t="s">
        <v>84</v>
      </c>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row>
    <row r="95" spans="4:35" ht="11.25" customHeight="1" x14ac:dyDescent="0.15">
      <c r="D95" s="16"/>
      <c r="E95" s="16"/>
      <c r="F95" s="16"/>
      <c r="G95" s="16" t="s">
        <v>85</v>
      </c>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row>
    <row r="96" spans="4:35" ht="11.25" customHeight="1" x14ac:dyDescent="0.15">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row>
    <row r="97" spans="4:35" ht="11.25" customHeight="1" x14ac:dyDescent="0.15">
      <c r="E97" s="15" t="str">
        <f>D87&amp;"2."</f>
        <v>7.3.4.2.</v>
      </c>
      <c r="F97" s="4" t="s">
        <v>86</v>
      </c>
    </row>
    <row r="98" spans="4:35" ht="11.25" customHeight="1" x14ac:dyDescent="0.15">
      <c r="F98" s="15" t="str">
        <f>E97&amp;"1."</f>
        <v>7.3.4.2.1.</v>
      </c>
      <c r="G98" s="4" t="str">
        <f>F97&amp;"方法"</f>
        <v>トランザクション分離レベル方法</v>
      </c>
    </row>
    <row r="99" spans="4:35" ht="11.25" customHeight="1" x14ac:dyDescent="0.15">
      <c r="G99" s="25" t="s">
        <v>87</v>
      </c>
      <c r="H99" s="26"/>
      <c r="I99" s="26"/>
      <c r="J99" s="27"/>
      <c r="K99" s="26" t="s">
        <v>88</v>
      </c>
      <c r="L99" s="26"/>
      <c r="M99" s="26"/>
      <c r="N99" s="26"/>
      <c r="O99" s="26"/>
      <c r="P99" s="26"/>
      <c r="Q99" s="26"/>
      <c r="R99" s="26"/>
      <c r="S99" s="26"/>
      <c r="T99" s="26"/>
      <c r="U99" s="26"/>
      <c r="V99" s="26"/>
      <c r="W99" s="26"/>
      <c r="X99" s="26"/>
      <c r="Y99" s="26"/>
      <c r="Z99" s="26"/>
      <c r="AA99" s="26"/>
      <c r="AB99" s="26"/>
      <c r="AC99" s="26"/>
      <c r="AD99" s="26"/>
      <c r="AE99" s="26"/>
      <c r="AF99" s="26"/>
      <c r="AG99" s="26"/>
      <c r="AH99" s="27"/>
    </row>
    <row r="100" spans="4:35" ht="11.25" customHeight="1" x14ac:dyDescent="0.15">
      <c r="G100" s="38" t="s">
        <v>89</v>
      </c>
      <c r="H100" s="39"/>
      <c r="I100" s="39"/>
      <c r="J100" s="40"/>
      <c r="K100" s="39" t="s">
        <v>90</v>
      </c>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40"/>
    </row>
    <row r="101" spans="4:35" ht="11.25" customHeight="1" x14ac:dyDescent="0.15">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row>
    <row r="102" spans="4:35" ht="11.25" customHeight="1" x14ac:dyDescent="0.15">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spans="4:35" ht="11.25" customHeight="1" x14ac:dyDescent="0.15">
      <c r="E103" s="15" t="str">
        <f>D87&amp;"3."</f>
        <v>7.3.4.3.</v>
      </c>
      <c r="F103" s="4" t="s">
        <v>91</v>
      </c>
    </row>
    <row r="104" spans="4:35" ht="11.25" customHeight="1" x14ac:dyDescent="0.15">
      <c r="E104" s="15"/>
      <c r="F104" s="15" t="str">
        <f>E103&amp;"1."</f>
        <v>7.3.4.3.1.</v>
      </c>
      <c r="G104" s="4" t="str">
        <f>F103&amp;"機能概要"</f>
        <v>処理タイムアウト機能概要</v>
      </c>
    </row>
    <row r="105" spans="4:35" ht="11.25" customHeight="1" x14ac:dyDescent="0.15">
      <c r="G105" s="4" t="s">
        <v>92</v>
      </c>
    </row>
    <row r="106" spans="4:35" ht="11.25" customHeight="1" x14ac:dyDescent="0.15">
      <c r="G106" s="4" t="s">
        <v>93</v>
      </c>
    </row>
    <row r="107" spans="4:35" ht="11.25" customHeight="1" x14ac:dyDescent="0.15">
      <c r="G107" s="4" t="s">
        <v>94</v>
      </c>
    </row>
    <row r="108" spans="4:35" ht="11.25" customHeight="1" x14ac:dyDescent="0.15"/>
    <row r="109" spans="4:35" ht="11.25" customHeight="1" x14ac:dyDescent="0.15">
      <c r="F109" s="15" t="str">
        <f>E103&amp;"2."</f>
        <v>7.3.4.3.2.</v>
      </c>
      <c r="G109" s="4" t="str">
        <f>F103&amp;"方法"</f>
        <v>処理タイムアウト方法</v>
      </c>
    </row>
    <row r="110" spans="4:35" ht="11.25" customHeight="1" x14ac:dyDescent="0.15">
      <c r="G110" s="4" t="str">
        <f>F103&amp;"を行う機能には、以下の方法がある。これらは原則全て使用される。"</f>
        <v>処理タイムアウトを行う機能には、以下の方法がある。これらは原則全て使用される。</v>
      </c>
    </row>
    <row r="111" spans="4:35" ht="11.25" customHeight="1" x14ac:dyDescent="0.15">
      <c r="G111" s="25" t="s">
        <v>95</v>
      </c>
      <c r="H111" s="26"/>
      <c r="I111" s="26"/>
      <c r="J111" s="26"/>
      <c r="K111" s="27"/>
      <c r="L111" s="26" t="s">
        <v>96</v>
      </c>
      <c r="M111" s="26"/>
      <c r="N111" s="26"/>
      <c r="O111" s="26"/>
      <c r="P111" s="26"/>
      <c r="Q111" s="26"/>
      <c r="R111" s="26"/>
      <c r="S111" s="26"/>
      <c r="T111" s="26"/>
      <c r="U111" s="26"/>
      <c r="V111" s="26"/>
      <c r="W111" s="26"/>
      <c r="X111" s="26"/>
      <c r="Y111" s="26"/>
      <c r="Z111" s="26"/>
      <c r="AA111" s="26"/>
      <c r="AB111" s="26"/>
      <c r="AC111" s="26"/>
      <c r="AD111" s="26"/>
      <c r="AE111" s="26"/>
      <c r="AF111" s="26"/>
      <c r="AG111" s="26"/>
      <c r="AH111" s="27"/>
    </row>
    <row r="112" spans="4:35" ht="11.25" customHeight="1" x14ac:dyDescent="0.15">
      <c r="G112" s="21" t="s">
        <v>97</v>
      </c>
      <c r="H112" s="22"/>
      <c r="I112" s="22"/>
      <c r="J112" s="22"/>
      <c r="K112" s="22"/>
      <c r="L112" s="21" t="s">
        <v>98</v>
      </c>
      <c r="M112" s="22"/>
      <c r="N112" s="22"/>
      <c r="O112" s="22"/>
      <c r="P112" s="22"/>
      <c r="Q112" s="22"/>
      <c r="R112" s="22"/>
      <c r="S112" s="22"/>
      <c r="T112" s="22"/>
      <c r="U112" s="22"/>
      <c r="V112" s="22"/>
      <c r="W112" s="22"/>
      <c r="X112" s="22"/>
      <c r="Y112" s="22"/>
      <c r="Z112" s="22"/>
      <c r="AA112" s="22"/>
      <c r="AB112" s="22"/>
      <c r="AC112" s="22"/>
      <c r="AD112" s="22"/>
      <c r="AE112" s="22"/>
      <c r="AF112" s="22"/>
      <c r="AG112" s="22"/>
      <c r="AH112" s="23"/>
    </row>
    <row r="113" spans="4:35" ht="11.25" customHeight="1" x14ac:dyDescent="0.15">
      <c r="G113" s="21" t="s">
        <v>99</v>
      </c>
      <c r="H113" s="22"/>
      <c r="I113" s="22"/>
      <c r="J113" s="22"/>
      <c r="K113" s="22"/>
      <c r="L113" s="21" t="s">
        <v>100</v>
      </c>
      <c r="M113" s="22"/>
      <c r="N113" s="22"/>
      <c r="O113" s="22"/>
      <c r="P113" s="22"/>
      <c r="Q113" s="22"/>
      <c r="R113" s="22"/>
      <c r="S113" s="22"/>
      <c r="T113" s="22"/>
      <c r="U113" s="22"/>
      <c r="V113" s="22"/>
      <c r="W113" s="22"/>
      <c r="X113" s="22"/>
      <c r="Y113" s="22"/>
      <c r="Z113" s="22"/>
      <c r="AA113" s="22"/>
      <c r="AB113" s="22"/>
      <c r="AC113" s="22"/>
      <c r="AD113" s="22"/>
      <c r="AE113" s="22"/>
      <c r="AF113" s="22"/>
      <c r="AG113" s="22"/>
      <c r="AH113" s="23"/>
    </row>
    <row r="114" spans="4:35" ht="11.25" customHeight="1" x14ac:dyDescent="0.15">
      <c r="G114" s="19"/>
      <c r="H114" s="20"/>
      <c r="I114" s="20"/>
      <c r="J114" s="20"/>
      <c r="K114" s="20"/>
      <c r="L114" s="19" t="s">
        <v>101</v>
      </c>
      <c r="M114" s="20"/>
      <c r="N114" s="20"/>
      <c r="O114" s="20"/>
      <c r="P114" s="20"/>
      <c r="Q114" s="20"/>
      <c r="R114" s="20"/>
      <c r="S114" s="20"/>
      <c r="T114" s="20"/>
      <c r="U114" s="20"/>
      <c r="V114" s="20"/>
      <c r="W114" s="20"/>
      <c r="X114" s="20"/>
      <c r="Y114" s="20"/>
      <c r="Z114" s="20"/>
      <c r="AA114" s="20"/>
      <c r="AB114" s="20"/>
      <c r="AC114" s="20"/>
      <c r="AD114" s="20"/>
      <c r="AE114" s="20"/>
      <c r="AF114" s="20"/>
      <c r="AG114" s="20"/>
      <c r="AH114" s="24"/>
    </row>
    <row r="115" spans="4:35" ht="11.25" customHeight="1" x14ac:dyDescent="0.15">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row>
    <row r="116" spans="4:35" ht="11.25" customHeight="1" x14ac:dyDescent="0.15">
      <c r="E116" s="15" t="str">
        <f>D87&amp;"4."</f>
        <v>7.3.4.4.</v>
      </c>
      <c r="F116" s="4" t="s">
        <v>102</v>
      </c>
    </row>
    <row r="117" spans="4:35" ht="11.25" customHeight="1" x14ac:dyDescent="0.15">
      <c r="E117" s="15"/>
      <c r="F117" s="15" t="str">
        <f>$E$116&amp;"1."</f>
        <v>7.3.4.4.1.</v>
      </c>
      <c r="G117" s="4" t="str">
        <f>F116&amp;"機能概要"</f>
        <v>排他制御機能概要</v>
      </c>
    </row>
    <row r="118" spans="4:35" ht="11.25" customHeight="1" x14ac:dyDescent="0.15">
      <c r="G118" s="4" t="s">
        <v>177</v>
      </c>
    </row>
    <row r="119" spans="4:35" ht="11.25" customHeight="1" x14ac:dyDescent="0.15">
      <c r="G119" s="4" t="s">
        <v>178</v>
      </c>
    </row>
    <row r="120" spans="4:35" ht="11.25" customHeight="1" x14ac:dyDescent="0.15"/>
    <row r="121" spans="4:35" ht="11.25" customHeight="1" x14ac:dyDescent="0.15">
      <c r="F121" s="15" t="str">
        <f>$E$116&amp;"2."</f>
        <v>7.3.4.4.2.</v>
      </c>
      <c r="G121" s="4" t="str">
        <f>F116&amp;"方法"</f>
        <v>排他制御方法</v>
      </c>
    </row>
    <row r="122" spans="4:35" ht="11.25" customHeight="1" x14ac:dyDescent="0.15">
      <c r="G122" s="4" t="str">
        <f>F116&amp;"を行う機能には、以下の方法がある。"</f>
        <v>排他制御を行う機能には、以下の方法がある。</v>
      </c>
    </row>
    <row r="123" spans="4:35" ht="11.25" customHeight="1" x14ac:dyDescent="0.15"/>
    <row r="124" spans="4:35" ht="11.25" customHeight="1" x14ac:dyDescent="0.15">
      <c r="G124" s="25" t="s">
        <v>95</v>
      </c>
      <c r="H124" s="26"/>
      <c r="I124" s="26"/>
      <c r="J124" s="26"/>
      <c r="K124" s="27"/>
      <c r="L124" s="26" t="s">
        <v>96</v>
      </c>
      <c r="M124" s="26"/>
      <c r="N124" s="26"/>
      <c r="O124" s="26"/>
      <c r="P124" s="26"/>
      <c r="Q124" s="26"/>
      <c r="R124" s="26"/>
      <c r="S124" s="26"/>
      <c r="T124" s="26"/>
      <c r="U124" s="26"/>
      <c r="V124" s="26"/>
      <c r="W124" s="26"/>
      <c r="X124" s="26"/>
      <c r="Y124" s="26"/>
      <c r="Z124" s="26"/>
      <c r="AA124" s="26"/>
      <c r="AB124" s="26"/>
      <c r="AC124" s="26"/>
      <c r="AD124" s="26"/>
      <c r="AE124" s="26"/>
      <c r="AF124" s="26"/>
      <c r="AG124" s="26"/>
      <c r="AH124" s="27"/>
    </row>
    <row r="125" spans="4:35" ht="11.25" customHeight="1" x14ac:dyDescent="0.15">
      <c r="G125" s="21" t="s">
        <v>103</v>
      </c>
      <c r="H125" s="22"/>
      <c r="I125" s="22"/>
      <c r="J125" s="22"/>
      <c r="K125" s="22"/>
      <c r="L125" s="21" t="s">
        <v>104</v>
      </c>
      <c r="M125" s="22"/>
      <c r="N125" s="22"/>
      <c r="O125" s="22"/>
      <c r="P125" s="22"/>
      <c r="Q125" s="22"/>
      <c r="R125" s="22"/>
      <c r="S125" s="22"/>
      <c r="T125" s="22"/>
      <c r="U125" s="22"/>
      <c r="V125" s="22"/>
      <c r="W125" s="22"/>
      <c r="X125" s="22"/>
      <c r="Y125" s="22"/>
      <c r="Z125" s="22"/>
      <c r="AA125" s="22"/>
      <c r="AB125" s="22"/>
      <c r="AC125" s="22"/>
      <c r="AD125" s="22"/>
      <c r="AE125" s="22"/>
      <c r="AF125" s="22"/>
      <c r="AG125" s="22"/>
      <c r="AH125" s="23"/>
    </row>
    <row r="126" spans="4:35" ht="11.25" customHeight="1" x14ac:dyDescent="0.15">
      <c r="G126" s="17"/>
      <c r="L126" s="17" t="s">
        <v>105</v>
      </c>
      <c r="AH126" s="18"/>
    </row>
    <row r="127" spans="4:35" ht="11.25" customHeight="1" x14ac:dyDescent="0.15">
      <c r="G127" s="17"/>
      <c r="L127" s="17" t="s">
        <v>106</v>
      </c>
      <c r="AH127" s="18"/>
    </row>
    <row r="128" spans="4:35" ht="11.25" customHeight="1" x14ac:dyDescent="0.15">
      <c r="G128" s="21" t="s">
        <v>107</v>
      </c>
      <c r="H128" s="22"/>
      <c r="I128" s="22"/>
      <c r="J128" s="22"/>
      <c r="K128" s="22"/>
      <c r="L128" s="21" t="s">
        <v>108</v>
      </c>
      <c r="M128" s="22"/>
      <c r="N128" s="22"/>
      <c r="O128" s="22"/>
      <c r="P128" s="22"/>
      <c r="Q128" s="22"/>
      <c r="R128" s="22"/>
      <c r="S128" s="22"/>
      <c r="T128" s="22"/>
      <c r="U128" s="22"/>
      <c r="V128" s="22"/>
      <c r="W128" s="22"/>
      <c r="X128" s="22"/>
      <c r="Y128" s="22"/>
      <c r="Z128" s="22"/>
      <c r="AA128" s="22"/>
      <c r="AB128" s="22"/>
      <c r="AC128" s="22"/>
      <c r="AD128" s="22"/>
      <c r="AE128" s="22"/>
      <c r="AF128" s="22"/>
      <c r="AG128" s="22"/>
      <c r="AH128" s="23"/>
    </row>
    <row r="129" spans="5:35" ht="11.25" customHeight="1" x14ac:dyDescent="0.15">
      <c r="G129" s="17"/>
      <c r="L129" s="17" t="s">
        <v>109</v>
      </c>
      <c r="AH129" s="18"/>
    </row>
    <row r="130" spans="5:35" ht="11.25" customHeight="1" x14ac:dyDescent="0.15">
      <c r="G130" s="19"/>
      <c r="H130" s="20"/>
      <c r="I130" s="20"/>
      <c r="J130" s="20"/>
      <c r="K130" s="20"/>
      <c r="L130" s="19" t="s">
        <v>110</v>
      </c>
      <c r="M130" s="20"/>
      <c r="N130" s="20"/>
      <c r="O130" s="20"/>
      <c r="P130" s="20"/>
      <c r="Q130" s="20"/>
      <c r="R130" s="20"/>
      <c r="S130" s="20"/>
      <c r="T130" s="20"/>
      <c r="U130" s="20"/>
      <c r="V130" s="20"/>
      <c r="W130" s="20"/>
      <c r="X130" s="20"/>
      <c r="Y130" s="20"/>
      <c r="Z130" s="20"/>
      <c r="AA130" s="20"/>
      <c r="AB130" s="20"/>
      <c r="AC130" s="20"/>
      <c r="AD130" s="20"/>
      <c r="AE130" s="20"/>
      <c r="AF130" s="20"/>
      <c r="AG130" s="20"/>
      <c r="AH130" s="24"/>
    </row>
    <row r="131" spans="5:35" ht="11.25" customHeight="1" x14ac:dyDescent="0.15"/>
    <row r="132" spans="5:35" ht="11.25" customHeight="1" x14ac:dyDescent="0.15">
      <c r="G132" s="4" t="s">
        <v>111</v>
      </c>
    </row>
    <row r="133" spans="5:35" ht="11.25" customHeight="1" x14ac:dyDescent="0.15">
      <c r="G133" s="25" t="s">
        <v>112</v>
      </c>
      <c r="H133" s="26"/>
      <c r="I133" s="26"/>
      <c r="J133" s="26"/>
      <c r="K133" s="27"/>
      <c r="L133" s="25" t="s">
        <v>113</v>
      </c>
      <c r="M133" s="26"/>
      <c r="N133" s="27"/>
      <c r="O133" s="26" t="s">
        <v>114</v>
      </c>
      <c r="P133" s="26"/>
      <c r="Q133" s="26"/>
      <c r="R133" s="26"/>
      <c r="S133" s="26"/>
      <c r="T133" s="26"/>
      <c r="U133" s="26"/>
      <c r="V133" s="26"/>
      <c r="W133" s="26"/>
      <c r="X133" s="26"/>
      <c r="Y133" s="26"/>
      <c r="Z133" s="26"/>
      <c r="AA133" s="26"/>
      <c r="AB133" s="26"/>
      <c r="AC133" s="26"/>
      <c r="AD133" s="26"/>
      <c r="AE133" s="26"/>
      <c r="AF133" s="26"/>
      <c r="AG133" s="26"/>
      <c r="AH133" s="27"/>
    </row>
    <row r="134" spans="5:35" ht="11.25" customHeight="1" x14ac:dyDescent="0.15">
      <c r="G134" s="17" t="s">
        <v>115</v>
      </c>
      <c r="K134" s="23"/>
      <c r="L134" s="17" t="s">
        <v>103</v>
      </c>
      <c r="N134" s="18"/>
      <c r="O134" s="4" t="s">
        <v>116</v>
      </c>
      <c r="AH134" s="18"/>
    </row>
    <row r="135" spans="5:35" ht="11.25" customHeight="1" x14ac:dyDescent="0.15">
      <c r="G135" s="17"/>
      <c r="K135" s="18"/>
      <c r="L135" s="17"/>
      <c r="N135" s="18"/>
      <c r="O135" s="4" t="s">
        <v>171</v>
      </c>
      <c r="AH135" s="18"/>
    </row>
    <row r="136" spans="5:35" ht="11.25" customHeight="1" x14ac:dyDescent="0.15">
      <c r="G136" s="17"/>
      <c r="K136" s="24"/>
      <c r="L136" s="17"/>
      <c r="N136" s="18"/>
      <c r="O136" s="4" t="s">
        <v>172</v>
      </c>
      <c r="AH136" s="18"/>
    </row>
    <row r="137" spans="5:35" ht="11.25" customHeight="1" x14ac:dyDescent="0.15">
      <c r="G137" s="21" t="s">
        <v>117</v>
      </c>
      <c r="H137" s="22"/>
      <c r="I137" s="22"/>
      <c r="J137" s="22"/>
      <c r="K137" s="23"/>
      <c r="L137" s="21" t="s">
        <v>107</v>
      </c>
      <c r="M137" s="22"/>
      <c r="N137" s="23"/>
      <c r="O137" s="22" t="s">
        <v>118</v>
      </c>
      <c r="P137" s="22"/>
      <c r="Q137" s="22"/>
      <c r="R137" s="22"/>
      <c r="S137" s="22"/>
      <c r="T137" s="22"/>
      <c r="U137" s="22"/>
      <c r="V137" s="22"/>
      <c r="W137" s="22"/>
      <c r="X137" s="22"/>
      <c r="Y137" s="22"/>
      <c r="Z137" s="22"/>
      <c r="AA137" s="22"/>
      <c r="AB137" s="22"/>
      <c r="AC137" s="22"/>
      <c r="AD137" s="22"/>
      <c r="AE137" s="22"/>
      <c r="AF137" s="22"/>
      <c r="AG137" s="22"/>
      <c r="AH137" s="23"/>
    </row>
    <row r="138" spans="5:35" ht="11.25" customHeight="1" x14ac:dyDescent="0.15">
      <c r="G138" s="19"/>
      <c r="H138" s="20"/>
      <c r="I138" s="20"/>
      <c r="J138" s="20"/>
      <c r="K138" s="24"/>
      <c r="L138" s="19"/>
      <c r="M138" s="20"/>
      <c r="N138" s="24"/>
      <c r="O138" s="20" t="s">
        <v>119</v>
      </c>
      <c r="P138" s="20"/>
      <c r="Q138" s="20"/>
      <c r="R138" s="20"/>
      <c r="S138" s="20"/>
      <c r="T138" s="20"/>
      <c r="U138" s="20"/>
      <c r="V138" s="20"/>
      <c r="W138" s="20"/>
      <c r="X138" s="20"/>
      <c r="Y138" s="20"/>
      <c r="Z138" s="20"/>
      <c r="AA138" s="20"/>
      <c r="AB138" s="20"/>
      <c r="AC138" s="20"/>
      <c r="AD138" s="20"/>
      <c r="AE138" s="20"/>
      <c r="AF138" s="20"/>
      <c r="AG138" s="20"/>
      <c r="AH138" s="24"/>
    </row>
    <row r="139" spans="5:35" ht="11.25" customHeight="1" x14ac:dyDescent="0.15">
      <c r="G139" s="21" t="s">
        <v>168</v>
      </c>
      <c r="H139" s="22"/>
      <c r="I139" s="22"/>
      <c r="J139" s="22"/>
      <c r="K139" s="23"/>
      <c r="L139" s="21" t="s">
        <v>103</v>
      </c>
      <c r="M139" s="22"/>
      <c r="N139" s="23"/>
      <c r="O139" s="21" t="s">
        <v>169</v>
      </c>
      <c r="P139" s="22"/>
      <c r="Q139" s="22"/>
      <c r="R139" s="22"/>
      <c r="S139" s="22"/>
      <c r="T139" s="22"/>
      <c r="U139" s="22"/>
      <c r="V139" s="22"/>
      <c r="W139" s="22"/>
      <c r="X139" s="22"/>
      <c r="Y139" s="22"/>
      <c r="Z139" s="22"/>
      <c r="AA139" s="22"/>
      <c r="AB139" s="22"/>
      <c r="AC139" s="22"/>
      <c r="AD139" s="22"/>
      <c r="AE139" s="22"/>
      <c r="AF139" s="22"/>
      <c r="AG139" s="22"/>
      <c r="AH139" s="23"/>
    </row>
    <row r="140" spans="5:35" ht="11.25" customHeight="1" x14ac:dyDescent="0.15">
      <c r="G140" s="19"/>
      <c r="H140" s="20"/>
      <c r="I140" s="20"/>
      <c r="J140" s="20"/>
      <c r="K140" s="24"/>
      <c r="L140" s="19"/>
      <c r="M140" s="20"/>
      <c r="N140" s="24"/>
      <c r="O140" s="19" t="s">
        <v>170</v>
      </c>
      <c r="P140" s="20"/>
      <c r="Q140" s="20"/>
      <c r="R140" s="20"/>
      <c r="S140" s="20"/>
      <c r="T140" s="20"/>
      <c r="U140" s="20"/>
      <c r="V140" s="20"/>
      <c r="W140" s="20"/>
      <c r="X140" s="20"/>
      <c r="Y140" s="20"/>
      <c r="Z140" s="20"/>
      <c r="AA140" s="20"/>
      <c r="AB140" s="20"/>
      <c r="AC140" s="20"/>
      <c r="AD140" s="20"/>
      <c r="AE140" s="20"/>
      <c r="AF140" s="20"/>
      <c r="AG140" s="20"/>
      <c r="AH140" s="24"/>
    </row>
    <row r="141" spans="5:35" ht="11.25" customHeight="1" x14ac:dyDescent="0.15">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row>
    <row r="142" spans="5:35" ht="11.25" customHeight="1" x14ac:dyDescent="0.15">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spans="5:35" ht="11.25" customHeight="1" x14ac:dyDescent="0.15">
      <c r="G143" s="4" t="s">
        <v>120</v>
      </c>
    </row>
    <row r="144" spans="5:35" ht="11.25" customHeight="1" x14ac:dyDescent="0.15">
      <c r="G144" s="25" t="s">
        <v>95</v>
      </c>
      <c r="H144" s="26"/>
      <c r="I144" s="26"/>
      <c r="J144" s="27"/>
      <c r="K144" s="26" t="s">
        <v>113</v>
      </c>
      <c r="L144" s="26"/>
      <c r="M144" s="26"/>
      <c r="N144" s="26"/>
      <c r="O144" s="27"/>
      <c r="P144" s="26" t="s">
        <v>114</v>
      </c>
      <c r="Q144" s="26"/>
      <c r="R144" s="26"/>
      <c r="S144" s="26"/>
      <c r="T144" s="26"/>
      <c r="U144" s="26"/>
      <c r="V144" s="26"/>
      <c r="W144" s="26"/>
      <c r="X144" s="26"/>
      <c r="Y144" s="26"/>
      <c r="Z144" s="26"/>
      <c r="AA144" s="26"/>
      <c r="AB144" s="26"/>
      <c r="AC144" s="26"/>
      <c r="AD144" s="26"/>
      <c r="AE144" s="26"/>
      <c r="AF144" s="26"/>
      <c r="AG144" s="26"/>
      <c r="AH144" s="27"/>
    </row>
    <row r="145" spans="4:35" ht="11.25" customHeight="1" x14ac:dyDescent="0.15">
      <c r="G145" s="17" t="s">
        <v>121</v>
      </c>
      <c r="J145" s="18"/>
      <c r="K145" s="4" t="s">
        <v>122</v>
      </c>
      <c r="N145" s="44"/>
      <c r="O145" s="23"/>
      <c r="P145" s="4" t="s">
        <v>123</v>
      </c>
      <c r="AH145" s="18"/>
    </row>
    <row r="146" spans="4:35" ht="11.25" customHeight="1" x14ac:dyDescent="0.15">
      <c r="G146" s="17"/>
      <c r="J146" s="18"/>
      <c r="K146" s="4" t="s">
        <v>124</v>
      </c>
      <c r="N146" s="44"/>
      <c r="O146" s="18"/>
      <c r="P146" s="4" t="s">
        <v>173</v>
      </c>
      <c r="AH146" s="18"/>
    </row>
    <row r="147" spans="4:35" ht="11.25" customHeight="1" x14ac:dyDescent="0.15">
      <c r="G147" s="19"/>
      <c r="H147" s="20"/>
      <c r="I147" s="20"/>
      <c r="J147" s="24"/>
      <c r="K147" s="20" t="s">
        <v>125</v>
      </c>
      <c r="L147" s="20"/>
      <c r="M147" s="20"/>
      <c r="N147" s="20"/>
      <c r="O147" s="24"/>
      <c r="P147" s="20" t="s">
        <v>174</v>
      </c>
      <c r="Q147" s="20"/>
      <c r="R147" s="20"/>
      <c r="S147" s="20"/>
      <c r="T147" s="20"/>
      <c r="U147" s="20"/>
      <c r="V147" s="20"/>
      <c r="W147" s="20"/>
      <c r="X147" s="20"/>
      <c r="Y147" s="20"/>
      <c r="Z147" s="20"/>
      <c r="AA147" s="20"/>
      <c r="AB147" s="20"/>
      <c r="AC147" s="20"/>
      <c r="AD147" s="20"/>
      <c r="AE147" s="20"/>
      <c r="AF147" s="20"/>
      <c r="AG147" s="20"/>
      <c r="AH147" s="24"/>
    </row>
    <row r="148" spans="4:35" ht="11.25" customHeight="1" x14ac:dyDescent="0.15">
      <c r="G148" s="17" t="s">
        <v>126</v>
      </c>
      <c r="J148" s="18"/>
      <c r="K148" s="4" t="s">
        <v>127</v>
      </c>
      <c r="N148" s="44"/>
      <c r="O148" s="23"/>
      <c r="P148" s="4" t="s">
        <v>128</v>
      </c>
      <c r="AH148" s="18"/>
    </row>
    <row r="149" spans="4:35" ht="11.25" customHeight="1" x14ac:dyDescent="0.15">
      <c r="G149" s="17"/>
      <c r="J149" s="18"/>
      <c r="K149" s="4" t="s">
        <v>129</v>
      </c>
      <c r="N149" s="44"/>
      <c r="O149" s="18"/>
      <c r="P149" s="4" t="s">
        <v>130</v>
      </c>
      <c r="AH149" s="18"/>
    </row>
    <row r="150" spans="4:35" ht="11.25" customHeight="1" x14ac:dyDescent="0.15">
      <c r="G150" s="19"/>
      <c r="H150" s="20"/>
      <c r="I150" s="20"/>
      <c r="J150" s="24"/>
      <c r="K150" s="20"/>
      <c r="L150" s="20"/>
      <c r="M150" s="20"/>
      <c r="N150" s="20"/>
      <c r="O150" s="24"/>
      <c r="P150" s="20"/>
      <c r="Q150" s="20"/>
      <c r="R150" s="20"/>
      <c r="S150" s="20"/>
      <c r="T150" s="20"/>
      <c r="U150" s="20"/>
      <c r="V150" s="20"/>
      <c r="W150" s="20"/>
      <c r="X150" s="20"/>
      <c r="Y150" s="20"/>
      <c r="Z150" s="20"/>
      <c r="AA150" s="20"/>
      <c r="AB150" s="20"/>
      <c r="AC150" s="20"/>
      <c r="AD150" s="20"/>
      <c r="AE150" s="20"/>
      <c r="AF150" s="20"/>
      <c r="AG150" s="20"/>
      <c r="AH150" s="24"/>
    </row>
    <row r="151" spans="4:35" ht="11.25" customHeight="1" x14ac:dyDescent="0.15">
      <c r="E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spans="4:35" ht="11.25" customHeight="1" x14ac:dyDescent="0.15">
      <c r="E152" s="16"/>
      <c r="F152" s="15" t="str">
        <f>$E$116&amp;"3."</f>
        <v>7.3.4.4.3.</v>
      </c>
      <c r="G152" s="16" t="s">
        <v>131</v>
      </c>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spans="4:35" ht="11.25" customHeight="1" x14ac:dyDescent="0.15">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spans="4:35" ht="11.25" customHeight="1" x14ac:dyDescent="0.15">
      <c r="E154" s="16"/>
      <c r="F154" s="16"/>
      <c r="G154" s="16" t="s">
        <v>132</v>
      </c>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spans="4:35" ht="11.25" customHeight="1" x14ac:dyDescent="0.15">
      <c r="E155" s="16"/>
      <c r="F155" s="16"/>
      <c r="G155" s="16" t="s">
        <v>133</v>
      </c>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spans="4:35" ht="11.25" customHeight="1" x14ac:dyDescent="0.15">
      <c r="E156" s="16"/>
      <c r="F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spans="4:35" ht="11.25" customHeight="1" x14ac:dyDescent="0.15">
      <c r="E157" s="16"/>
      <c r="F157" s="16"/>
      <c r="G157" s="16" t="s">
        <v>134</v>
      </c>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spans="4:35" ht="11.25" customHeight="1" x14ac:dyDescent="0.15">
      <c r="E158" s="16"/>
      <c r="F158" s="16"/>
      <c r="G158" s="16" t="s">
        <v>175</v>
      </c>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spans="4:35" ht="11.25" customHeight="1" x14ac:dyDescent="0.15">
      <c r="E159" s="16"/>
      <c r="F159" s="16"/>
      <c r="G159" s="16" t="s">
        <v>176</v>
      </c>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spans="4:35" ht="11.25" customHeight="1" x14ac:dyDescent="0.15">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spans="5:34" ht="11.25" customHeight="1" x14ac:dyDescent="0.15">
      <c r="E161" s="15" t="str">
        <f>D87&amp;"5."</f>
        <v>7.3.4.5.</v>
      </c>
      <c r="F161" s="4" t="s">
        <v>135</v>
      </c>
    </row>
    <row r="162" spans="5:34" ht="11.25" customHeight="1" x14ac:dyDescent="0.15">
      <c r="E162" s="15"/>
      <c r="F162" s="15" t="str">
        <f>E161&amp;"1."</f>
        <v>7.3.4.5.1.</v>
      </c>
      <c r="G162" s="4" t="str">
        <f>F161&amp;"機能概要"</f>
        <v>データクリーニング機能概要</v>
      </c>
    </row>
    <row r="163" spans="5:34" ht="11.25" customHeight="1" x14ac:dyDescent="0.15">
      <c r="E163" s="15"/>
      <c r="F163" s="15"/>
      <c r="G163" s="4" t="s">
        <v>136</v>
      </c>
    </row>
    <row r="164" spans="5:34" ht="11.25" customHeight="1" x14ac:dyDescent="0.15">
      <c r="E164" s="15"/>
      <c r="F164" s="15"/>
      <c r="G164" s="4" t="s">
        <v>137</v>
      </c>
    </row>
    <row r="165" spans="5:34" ht="11.25" customHeight="1" x14ac:dyDescent="0.15">
      <c r="E165" s="15"/>
      <c r="F165" s="15"/>
      <c r="G165" s="4" t="s">
        <v>138</v>
      </c>
    </row>
    <row r="166" spans="5:34" ht="11.25" customHeight="1" x14ac:dyDescent="0.15"/>
    <row r="167" spans="5:34" ht="11.25" customHeight="1" x14ac:dyDescent="0.15">
      <c r="F167" s="15" t="str">
        <f>E161&amp;"2."</f>
        <v>7.3.4.5.2.</v>
      </c>
      <c r="G167" s="4" t="str">
        <f>F161&amp;"方法"</f>
        <v>データクリーニング方法</v>
      </c>
    </row>
    <row r="168" spans="5:34" ht="11.25" customHeight="1" x14ac:dyDescent="0.15">
      <c r="G168" s="4" t="str">
        <f>F161&amp;"を行う機能には、以下の方法がある。"</f>
        <v>データクリーニングを行う機能には、以下の方法がある。</v>
      </c>
    </row>
    <row r="169" spans="5:34" ht="11.25" customHeight="1" x14ac:dyDescent="0.15"/>
    <row r="170" spans="5:34" ht="11.25" customHeight="1" x14ac:dyDescent="0.15">
      <c r="G170" s="25" t="s">
        <v>95</v>
      </c>
      <c r="H170" s="26"/>
      <c r="I170" s="26"/>
      <c r="J170" s="26"/>
      <c r="K170" s="27"/>
      <c r="L170" s="26" t="s">
        <v>96</v>
      </c>
      <c r="M170" s="26"/>
      <c r="N170" s="26"/>
      <c r="O170" s="26"/>
      <c r="P170" s="26"/>
      <c r="Q170" s="26"/>
      <c r="R170" s="26"/>
      <c r="S170" s="26"/>
      <c r="T170" s="26"/>
      <c r="U170" s="26"/>
      <c r="V170" s="26"/>
      <c r="W170" s="26"/>
      <c r="X170" s="26"/>
      <c r="Y170" s="26"/>
      <c r="Z170" s="26"/>
      <c r="AA170" s="26"/>
      <c r="AB170" s="26"/>
      <c r="AC170" s="26"/>
      <c r="AD170" s="26"/>
      <c r="AE170" s="26"/>
      <c r="AF170" s="26"/>
      <c r="AG170" s="26"/>
      <c r="AH170" s="27"/>
    </row>
    <row r="171" spans="5:34" ht="11.25" customHeight="1" x14ac:dyDescent="0.15">
      <c r="G171" s="21" t="s">
        <v>139</v>
      </c>
      <c r="H171" s="22"/>
      <c r="I171" s="22"/>
      <c r="J171" s="22"/>
      <c r="K171" s="22"/>
      <c r="L171" s="21" t="s">
        <v>140</v>
      </c>
      <c r="M171" s="22"/>
      <c r="N171" s="22"/>
      <c r="O171" s="22"/>
      <c r="P171" s="22"/>
      <c r="Q171" s="22"/>
      <c r="R171" s="22"/>
      <c r="S171" s="22"/>
      <c r="T171" s="22"/>
      <c r="U171" s="22"/>
      <c r="V171" s="22"/>
      <c r="W171" s="22"/>
      <c r="X171" s="22"/>
      <c r="Y171" s="22"/>
      <c r="Z171" s="22"/>
      <c r="AA171" s="22"/>
      <c r="AB171" s="22"/>
      <c r="AC171" s="22"/>
      <c r="AD171" s="22"/>
      <c r="AE171" s="22"/>
      <c r="AF171" s="22"/>
      <c r="AG171" s="22"/>
      <c r="AH171" s="23"/>
    </row>
    <row r="172" spans="5:34" ht="11.25" customHeight="1" x14ac:dyDescent="0.15">
      <c r="G172" s="17"/>
      <c r="L172" s="17" t="s">
        <v>141</v>
      </c>
      <c r="AH172" s="18"/>
    </row>
    <row r="173" spans="5:34" ht="11.25" customHeight="1" x14ac:dyDescent="0.15">
      <c r="G173" s="21" t="s">
        <v>142</v>
      </c>
      <c r="H173" s="22"/>
      <c r="I173" s="22"/>
      <c r="J173" s="22"/>
      <c r="K173" s="22"/>
      <c r="L173" s="21" t="s">
        <v>143</v>
      </c>
      <c r="M173" s="22"/>
      <c r="N173" s="22"/>
      <c r="O173" s="22"/>
      <c r="P173" s="22"/>
      <c r="Q173" s="22"/>
      <c r="R173" s="22"/>
      <c r="S173" s="22"/>
      <c r="T173" s="22"/>
      <c r="U173" s="22"/>
      <c r="V173" s="22"/>
      <c r="W173" s="22"/>
      <c r="X173" s="22"/>
      <c r="Y173" s="22"/>
      <c r="Z173" s="22"/>
      <c r="AA173" s="22"/>
      <c r="AB173" s="22"/>
      <c r="AC173" s="22"/>
      <c r="AD173" s="22"/>
      <c r="AE173" s="22"/>
      <c r="AF173" s="22"/>
      <c r="AG173" s="22"/>
      <c r="AH173" s="23"/>
    </row>
    <row r="174" spans="5:34" ht="11.25" customHeight="1" x14ac:dyDescent="0.15">
      <c r="G174" s="17"/>
      <c r="L174" s="17" t="s">
        <v>144</v>
      </c>
      <c r="AH174" s="18"/>
    </row>
    <row r="175" spans="5:34" ht="11.25" customHeight="1" x14ac:dyDescent="0.15">
      <c r="G175" s="17"/>
      <c r="L175" s="17" t="s">
        <v>145</v>
      </c>
      <c r="AH175" s="18"/>
    </row>
    <row r="176" spans="5:34" ht="11.25" customHeight="1" x14ac:dyDescent="0.15">
      <c r="G176" s="19"/>
      <c r="H176" s="20"/>
      <c r="I176" s="20"/>
      <c r="J176" s="20"/>
      <c r="K176" s="20"/>
      <c r="L176" s="19" t="s">
        <v>146</v>
      </c>
      <c r="M176" s="20"/>
      <c r="N176" s="20"/>
      <c r="O176" s="20"/>
      <c r="P176" s="20"/>
      <c r="Q176" s="20"/>
      <c r="R176" s="20"/>
      <c r="S176" s="20"/>
      <c r="T176" s="20"/>
      <c r="U176" s="20"/>
      <c r="V176" s="20"/>
      <c r="W176" s="20"/>
      <c r="X176" s="20"/>
      <c r="Y176" s="20"/>
      <c r="Z176" s="20"/>
      <c r="AA176" s="20"/>
      <c r="AB176" s="20"/>
      <c r="AC176" s="20"/>
      <c r="AD176" s="20"/>
      <c r="AE176" s="20"/>
      <c r="AF176" s="20"/>
      <c r="AG176" s="20"/>
      <c r="AH176" s="24"/>
    </row>
    <row r="177" spans="4:35" ht="11.25" customHeight="1" x14ac:dyDescent="0.15"/>
    <row r="178" spans="4:35" ht="11.25" customHeight="1" x14ac:dyDescent="0.15">
      <c r="G178" s="4" t="s">
        <v>111</v>
      </c>
    </row>
    <row r="179" spans="4:35" ht="11.25" customHeight="1" x14ac:dyDescent="0.15">
      <c r="G179" s="25" t="str">
        <f>G170</f>
        <v>方法</v>
      </c>
      <c r="H179" s="26"/>
      <c r="I179" s="26"/>
      <c r="J179" s="26"/>
      <c r="K179" s="27"/>
      <c r="L179" s="26" t="s">
        <v>113</v>
      </c>
      <c r="M179" s="26"/>
      <c r="N179" s="26"/>
      <c r="O179" s="27"/>
      <c r="P179" s="26" t="s">
        <v>21</v>
      </c>
      <c r="Q179" s="26"/>
      <c r="R179" s="26"/>
      <c r="S179" s="26"/>
      <c r="T179" s="26"/>
      <c r="U179" s="26"/>
      <c r="V179" s="26"/>
      <c r="W179" s="26"/>
      <c r="X179" s="26"/>
      <c r="Y179" s="26"/>
      <c r="Z179" s="26"/>
      <c r="AA179" s="26"/>
      <c r="AB179" s="26"/>
      <c r="AC179" s="26"/>
      <c r="AD179" s="26"/>
      <c r="AE179" s="26"/>
      <c r="AF179" s="26"/>
      <c r="AG179" s="26"/>
      <c r="AH179" s="27"/>
    </row>
    <row r="180" spans="4:35" ht="11.25" customHeight="1" x14ac:dyDescent="0.15">
      <c r="G180" s="17" t="str">
        <f>G171</f>
        <v>物理削除</v>
      </c>
      <c r="K180" s="18"/>
      <c r="L180" s="4" t="s">
        <v>147</v>
      </c>
      <c r="O180" s="18"/>
      <c r="P180" s="4" t="s">
        <v>148</v>
      </c>
      <c r="AH180" s="18"/>
    </row>
    <row r="181" spans="4:35" ht="11.25" customHeight="1" x14ac:dyDescent="0.15">
      <c r="G181" s="38" t="str">
        <f>G173</f>
        <v>論理削除</v>
      </c>
      <c r="H181" s="39"/>
      <c r="I181" s="39"/>
      <c r="J181" s="39"/>
      <c r="K181" s="40"/>
      <c r="L181" s="39" t="s">
        <v>149</v>
      </c>
      <c r="M181" s="39"/>
      <c r="N181" s="39"/>
      <c r="O181" s="40"/>
      <c r="P181" s="39" t="s">
        <v>150</v>
      </c>
      <c r="Q181" s="39"/>
      <c r="R181" s="39"/>
      <c r="S181" s="39"/>
      <c r="T181" s="39"/>
      <c r="U181" s="39"/>
      <c r="V181" s="39"/>
      <c r="W181" s="39"/>
      <c r="X181" s="39"/>
      <c r="Y181" s="39"/>
      <c r="Z181" s="39"/>
      <c r="AA181" s="39"/>
      <c r="AB181" s="39"/>
      <c r="AC181" s="39"/>
      <c r="AD181" s="39"/>
      <c r="AE181" s="39"/>
      <c r="AF181" s="39"/>
      <c r="AG181" s="39"/>
      <c r="AH181" s="40"/>
    </row>
    <row r="182" spans="4:35" ht="11.25" customHeight="1" x14ac:dyDescent="0.15">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spans="4:35" ht="11.25" customHeight="1" x14ac:dyDescent="0.15">
      <c r="D183" s="16"/>
      <c r="E183" s="16"/>
      <c r="F183" s="15"/>
      <c r="G183" s="4" t="s">
        <v>151</v>
      </c>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spans="4:35" ht="11.25" customHeight="1" x14ac:dyDescent="0.15">
      <c r="D184" s="16"/>
      <c r="E184" s="16"/>
      <c r="F184" s="16"/>
      <c r="G184" s="29" t="s">
        <v>152</v>
      </c>
      <c r="H184" s="30"/>
      <c r="I184" s="30"/>
      <c r="J184" s="29" t="s">
        <v>153</v>
      </c>
      <c r="K184" s="30"/>
      <c r="L184" s="30"/>
      <c r="M184" s="29" t="s">
        <v>154</v>
      </c>
      <c r="N184" s="30"/>
      <c r="O184" s="30"/>
      <c r="P184" s="30"/>
      <c r="Q184" s="30"/>
      <c r="R184" s="30"/>
      <c r="S184" s="30"/>
      <c r="T184" s="30"/>
      <c r="U184" s="30"/>
      <c r="V184" s="30"/>
      <c r="W184" s="30"/>
      <c r="X184" s="31"/>
      <c r="Y184" s="30" t="s">
        <v>155</v>
      </c>
      <c r="Z184" s="30"/>
      <c r="AA184" s="30"/>
      <c r="AB184" s="30"/>
      <c r="AC184" s="30"/>
      <c r="AD184" s="30"/>
      <c r="AE184" s="30"/>
      <c r="AF184" s="30"/>
      <c r="AG184" s="30"/>
      <c r="AH184" s="31"/>
      <c r="AI184" s="16"/>
    </row>
    <row r="185" spans="4:35" ht="11.25" customHeight="1" x14ac:dyDescent="0.15">
      <c r="D185" s="16"/>
      <c r="E185" s="16"/>
      <c r="F185" s="16"/>
      <c r="G185" s="32" t="s">
        <v>139</v>
      </c>
      <c r="H185" s="16"/>
      <c r="I185" s="16"/>
      <c r="J185" s="32" t="s">
        <v>156</v>
      </c>
      <c r="K185" s="16"/>
      <c r="L185" s="16"/>
      <c r="M185" s="32" t="s">
        <v>157</v>
      </c>
      <c r="N185" s="16"/>
      <c r="O185" s="16"/>
      <c r="P185" s="16"/>
      <c r="Q185" s="16"/>
      <c r="R185" s="16"/>
      <c r="S185" s="16"/>
      <c r="T185" s="16"/>
      <c r="U185" s="16"/>
      <c r="V185" s="16"/>
      <c r="W185" s="16"/>
      <c r="X185" s="33"/>
      <c r="Y185" s="16" t="s">
        <v>158</v>
      </c>
      <c r="Z185" s="16"/>
      <c r="AA185" s="16"/>
      <c r="AB185" s="16"/>
      <c r="AC185" s="16"/>
      <c r="AD185" s="16"/>
      <c r="AE185" s="16"/>
      <c r="AF185" s="16"/>
      <c r="AG185" s="16"/>
      <c r="AH185" s="33"/>
      <c r="AI185" s="16"/>
    </row>
    <row r="186" spans="4:35" ht="11.25" customHeight="1" x14ac:dyDescent="0.15">
      <c r="D186" s="16"/>
      <c r="E186" s="16"/>
      <c r="F186" s="16"/>
      <c r="G186" s="32"/>
      <c r="H186" s="16"/>
      <c r="I186" s="16"/>
      <c r="J186" s="32"/>
      <c r="K186" s="16"/>
      <c r="L186" s="16"/>
      <c r="M186" s="32" t="s">
        <v>159</v>
      </c>
      <c r="N186" s="16"/>
      <c r="O186" s="16"/>
      <c r="P186" s="16"/>
      <c r="Q186" s="16"/>
      <c r="R186" s="16"/>
      <c r="S186" s="16"/>
      <c r="T186" s="16"/>
      <c r="U186" s="16"/>
      <c r="V186" s="16"/>
      <c r="W186" s="16"/>
      <c r="X186" s="33"/>
      <c r="Y186" s="16"/>
      <c r="Z186" s="16"/>
      <c r="AA186" s="16"/>
      <c r="AB186" s="16"/>
      <c r="AC186" s="16"/>
      <c r="AD186" s="16"/>
      <c r="AE186" s="16"/>
      <c r="AF186" s="16"/>
      <c r="AG186" s="16"/>
      <c r="AH186" s="33"/>
      <c r="AI186" s="16"/>
    </row>
    <row r="187" spans="4:35" ht="11.25" customHeight="1" x14ac:dyDescent="0.15">
      <c r="D187" s="16"/>
      <c r="E187" s="16"/>
      <c r="F187" s="16"/>
      <c r="G187" s="32"/>
      <c r="H187" s="16"/>
      <c r="I187" s="16"/>
      <c r="J187" s="41" t="s">
        <v>160</v>
      </c>
      <c r="K187" s="37"/>
      <c r="L187" s="37"/>
      <c r="M187" s="41" t="s">
        <v>179</v>
      </c>
      <c r="N187" s="37"/>
      <c r="O187" s="37"/>
      <c r="P187" s="37"/>
      <c r="Q187" s="37"/>
      <c r="R187" s="37"/>
      <c r="S187" s="37"/>
      <c r="T187" s="37"/>
      <c r="U187" s="37"/>
      <c r="V187" s="37"/>
      <c r="W187" s="37"/>
      <c r="X187" s="42"/>
      <c r="Y187" s="37" t="s">
        <v>161</v>
      </c>
      <c r="Z187" s="37"/>
      <c r="AA187" s="37"/>
      <c r="AB187" s="37"/>
      <c r="AC187" s="37"/>
      <c r="AD187" s="37"/>
      <c r="AE187" s="37"/>
      <c r="AF187" s="37"/>
      <c r="AG187" s="37"/>
      <c r="AH187" s="42"/>
      <c r="AI187" s="16"/>
    </row>
    <row r="188" spans="4:35" ht="11.25" customHeight="1" x14ac:dyDescent="0.15">
      <c r="D188" s="16"/>
      <c r="E188" s="16"/>
      <c r="F188" s="16"/>
      <c r="G188" s="32"/>
      <c r="H188" s="16"/>
      <c r="I188" s="16"/>
      <c r="J188" s="34"/>
      <c r="K188" s="35"/>
      <c r="L188" s="35"/>
      <c r="M188" s="34" t="s">
        <v>180</v>
      </c>
      <c r="N188" s="35"/>
      <c r="O188" s="35"/>
      <c r="P188" s="35"/>
      <c r="Q188" s="35"/>
      <c r="R188" s="35"/>
      <c r="S188" s="35"/>
      <c r="T188" s="35"/>
      <c r="U188" s="35"/>
      <c r="V188" s="35"/>
      <c r="W188" s="35"/>
      <c r="X188" s="36"/>
      <c r="Y188" s="35" t="s">
        <v>162</v>
      </c>
      <c r="Z188" s="35"/>
      <c r="AA188" s="35"/>
      <c r="AB188" s="35"/>
      <c r="AC188" s="35"/>
      <c r="AD188" s="35"/>
      <c r="AE188" s="35"/>
      <c r="AF188" s="35"/>
      <c r="AG188" s="35"/>
      <c r="AH188" s="36"/>
      <c r="AI188" s="16"/>
    </row>
    <row r="189" spans="4:35" ht="11.25" customHeight="1" x14ac:dyDescent="0.15">
      <c r="D189" s="16"/>
      <c r="E189" s="16"/>
      <c r="F189" s="16"/>
      <c r="G189" s="32"/>
      <c r="H189" s="16"/>
      <c r="I189" s="16"/>
      <c r="J189" s="41" t="s">
        <v>163</v>
      </c>
      <c r="K189" s="37"/>
      <c r="L189" s="37"/>
      <c r="M189" s="41" t="s">
        <v>164</v>
      </c>
      <c r="N189" s="37"/>
      <c r="O189" s="37"/>
      <c r="P189" s="37"/>
      <c r="Q189" s="37"/>
      <c r="R189" s="37"/>
      <c r="S189" s="37"/>
      <c r="T189" s="37"/>
      <c r="U189" s="37"/>
      <c r="V189" s="37"/>
      <c r="W189" s="37"/>
      <c r="X189" s="42"/>
      <c r="Y189" s="41" t="s">
        <v>165</v>
      </c>
      <c r="Z189" s="37"/>
      <c r="AA189" s="37"/>
      <c r="AB189" s="37"/>
      <c r="AC189" s="37"/>
      <c r="AD189" s="37"/>
      <c r="AE189" s="37"/>
      <c r="AF189" s="37"/>
      <c r="AG189" s="37"/>
      <c r="AH189" s="42"/>
      <c r="AI189" s="16"/>
    </row>
    <row r="190" spans="4:35" ht="11.25" customHeight="1" x14ac:dyDescent="0.15">
      <c r="D190" s="16"/>
      <c r="E190" s="16"/>
      <c r="F190" s="16"/>
      <c r="G190" s="34"/>
      <c r="H190" s="35"/>
      <c r="I190" s="35"/>
      <c r="J190" s="34"/>
      <c r="K190" s="35"/>
      <c r="L190" s="35"/>
      <c r="M190" s="34" t="s">
        <v>166</v>
      </c>
      <c r="N190" s="35"/>
      <c r="O190" s="35"/>
      <c r="P190" s="35"/>
      <c r="Q190" s="35"/>
      <c r="R190" s="35"/>
      <c r="S190" s="35"/>
      <c r="T190" s="35"/>
      <c r="U190" s="35"/>
      <c r="V190" s="35"/>
      <c r="W190" s="35"/>
      <c r="X190" s="36"/>
      <c r="Y190" s="34" t="s">
        <v>167</v>
      </c>
      <c r="Z190" s="35"/>
      <c r="AA190" s="35"/>
      <c r="AB190" s="35"/>
      <c r="AC190" s="35"/>
      <c r="AD190" s="35"/>
      <c r="AE190" s="35"/>
      <c r="AF190" s="35"/>
      <c r="AG190" s="35"/>
      <c r="AH190" s="36"/>
      <c r="AI190" s="16"/>
    </row>
    <row r="191" spans="4:35" ht="11.25" customHeight="1" x14ac:dyDescent="0.15">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spans="4:35"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5" manualBreakCount="5">
    <brk id="44" max="34" man="1"/>
    <brk id="60" max="34" man="1"/>
    <brk id="86" max="34" man="1"/>
    <brk id="115" max="34" man="1"/>
    <brk id="160"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7.3.DBアクセス処理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2025-04-21T00:22:30Z</dcterms:created>
  <dcterms:modified xsi:type="dcterms:W3CDTF">2025-04-21T00:22:35Z</dcterms:modified>
  <cp:category/>
  <cp:contentStatus/>
</cp:coreProperties>
</file>